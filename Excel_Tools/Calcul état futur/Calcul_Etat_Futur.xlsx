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6tchmacbook/Downloads/Excel_Tools/Calcul état futur/"/>
    </mc:Choice>
  </mc:AlternateContent>
  <xr:revisionPtr revIDLastSave="0" documentId="13_ncr:1_{B7267F7B-5349-3D4F-95F1-0DBA844A745B}" xr6:coauthVersionLast="47" xr6:coauthVersionMax="47" xr10:uidLastSave="{00000000-0000-0000-0000-000000000000}"/>
  <bookViews>
    <workbookView xWindow="-1180" yWindow="-21320" windowWidth="27240" windowHeight="16440" xr2:uid="{0327A38E-E46D-E24B-8040-2D14E53BF221}"/>
  </bookViews>
  <sheets>
    <sheet name="Calcul état fut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4" i="1" s="1"/>
  <c r="C18" i="1" l="1"/>
  <c r="K3" i="1"/>
  <c r="C16" i="1" l="1"/>
  <c r="C6" i="1"/>
  <c r="C5" i="1"/>
  <c r="C17" i="1" s="1"/>
</calcChain>
</file>

<file path=xl/sharedStrings.xml><?xml version="1.0" encoding="utf-8"?>
<sst xmlns="http://schemas.openxmlformats.org/spreadsheetml/2006/main" count="29" uniqueCount="21">
  <si>
    <t>Surface quartier (m2)</t>
  </si>
  <si>
    <t>Densité actuelle (pop/ha)</t>
  </si>
  <si>
    <t>Population future accueillie dans le quartier (pop)</t>
  </si>
  <si>
    <t>Surface buffer</t>
  </si>
  <si>
    <t>Surface buffer (ha)</t>
  </si>
  <si>
    <t>Densité future (pop/ha)</t>
  </si>
  <si>
    <t>Habitants existants dans rayon de 500 m autour du quartier</t>
  </si>
  <si>
    <t>Emplois existants dans rayon de 500 m autour du quartier</t>
  </si>
  <si>
    <t>Futurs emplois accueillis dans le quartier</t>
  </si>
  <si>
    <t>Densité routière existante (km/km2)</t>
  </si>
  <si>
    <t>Surface buffer (km2)</t>
  </si>
  <si>
    <t>Longueur nouvelles routes dans le quartier (km)</t>
  </si>
  <si>
    <t>Densité routière future</t>
  </si>
  <si>
    <t>Ratio emplois/habitants futur</t>
  </si>
  <si>
    <t>Données à remplir</t>
  </si>
  <si>
    <t>Résultats</t>
  </si>
  <si>
    <t>Do not modify this</t>
  </si>
  <si>
    <t>Ratio emplois/habitants actuel</t>
  </si>
  <si>
    <t>Ne pas modifier la valeur!</t>
  </si>
  <si>
    <t xml:space="preserve">Remplir </t>
  </si>
  <si>
    <t>Ne pas remplir: Remplir ratio emplois/habitants ci-dessous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</si>
</sst>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i/>
      <sz val="12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89999084444715716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7" xfId="0" applyFont="1" applyBorder="1"/>
    <xf numFmtId="2" fontId="1" fillId="0" borderId="8" xfId="0" applyNumberFormat="1" applyFont="1" applyBorder="1"/>
    <xf numFmtId="0" fontId="1" fillId="0" borderId="9" xfId="0" applyFont="1" applyBorder="1"/>
    <xf numFmtId="2" fontId="1" fillId="0" borderId="10" xfId="0" applyNumberFormat="1" applyFont="1" applyBorder="1"/>
    <xf numFmtId="0" fontId="1" fillId="0" borderId="11" xfId="0" applyFont="1" applyBorder="1"/>
    <xf numFmtId="2" fontId="1" fillId="0" borderId="12" xfId="0" applyNumberFormat="1" applyFont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2" fontId="0" fillId="3" borderId="6" xfId="0" applyNumberFormat="1" applyFill="1" applyBorder="1"/>
    <xf numFmtId="0" fontId="1" fillId="4" borderId="0" xfId="0" applyFont="1" applyFill="1"/>
    <xf numFmtId="0" fontId="0" fillId="5" borderId="1" xfId="0" applyFill="1" applyBorder="1"/>
    <xf numFmtId="1" fontId="0" fillId="4" borderId="2" xfId="0" applyNumberFormat="1" applyFill="1" applyBorder="1"/>
    <xf numFmtId="0" fontId="4" fillId="6" borderId="0" xfId="0" applyFont="1" applyFill="1"/>
    <xf numFmtId="1" fontId="3" fillId="6" borderId="4" xfId="0" applyNumberFormat="1" applyFont="1" applyFill="1" applyBorder="1"/>
    <xf numFmtId="0" fontId="1" fillId="2" borderId="0" xfId="0" applyFont="1" applyFill="1"/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5476-857E-8241-97F5-6C32A411005C}">
  <dimension ref="A1:K18"/>
  <sheetViews>
    <sheetView tabSelected="1" workbookViewId="0">
      <selection activeCell="B23" sqref="B23"/>
    </sheetView>
  </sheetViews>
  <sheetFormatPr baseColWidth="10" defaultRowHeight="16" x14ac:dyDescent="0.2"/>
  <cols>
    <col min="1" max="1" width="49.5" bestFit="1" customWidth="1"/>
    <col min="2" max="2" width="49.33203125" bestFit="1" customWidth="1"/>
    <col min="3" max="3" width="11.6640625" bestFit="1" customWidth="1"/>
    <col min="5" max="5" width="25" bestFit="1" customWidth="1"/>
    <col min="10" max="10" width="18.1640625" hidden="1" customWidth="1"/>
    <col min="11" max="11" width="0" hidden="1" customWidth="1"/>
  </cols>
  <sheetData>
    <row r="1" spans="1:11" ht="17" thickBot="1" x14ac:dyDescent="0.25">
      <c r="B1" s="22" t="s">
        <v>14</v>
      </c>
      <c r="C1" s="22"/>
      <c r="J1" s="23" t="s">
        <v>16</v>
      </c>
      <c r="K1" s="24"/>
    </row>
    <row r="2" spans="1:11" ht="17" thickBot="1" x14ac:dyDescent="0.25">
      <c r="A2" s="21" t="s">
        <v>19</v>
      </c>
      <c r="B2" s="4" t="s">
        <v>0</v>
      </c>
      <c r="C2" s="11">
        <v>1000</v>
      </c>
      <c r="J2" s="5" t="s">
        <v>3</v>
      </c>
      <c r="K2" s="6">
        <f xml:space="preserve"> PI() * (SQRT(C2/PI()) + 500) ^2</f>
        <v>842448.07556142763</v>
      </c>
    </row>
    <row r="3" spans="1:11" x14ac:dyDescent="0.2">
      <c r="A3" s="21" t="s">
        <v>19</v>
      </c>
      <c r="B3" s="1" t="s">
        <v>1</v>
      </c>
      <c r="C3" s="12">
        <v>1</v>
      </c>
      <c r="J3" s="7" t="s">
        <v>4</v>
      </c>
      <c r="K3" s="8">
        <f>K2/10000</f>
        <v>84.24480755614276</v>
      </c>
    </row>
    <row r="4" spans="1:11" ht="17" thickBot="1" x14ac:dyDescent="0.25">
      <c r="A4" s="21" t="s">
        <v>19</v>
      </c>
      <c r="B4" s="2" t="s">
        <v>2</v>
      </c>
      <c r="C4" s="13">
        <v>1</v>
      </c>
      <c r="J4" s="9" t="s">
        <v>10</v>
      </c>
      <c r="K4" s="10">
        <f>K2/1000000</f>
        <v>0.84244807556142765</v>
      </c>
    </row>
    <row r="5" spans="1:11" hidden="1" x14ac:dyDescent="0.2">
      <c r="A5" s="16" t="s">
        <v>20</v>
      </c>
      <c r="B5" s="1" t="s">
        <v>7</v>
      </c>
      <c r="C5" s="18">
        <f>(C3 * K3) * C11</f>
        <v>42.964851853632808</v>
      </c>
    </row>
    <row r="6" spans="1:11" hidden="1" x14ac:dyDescent="0.2">
      <c r="A6" s="19" t="s">
        <v>18</v>
      </c>
      <c r="B6" s="3" t="s">
        <v>6</v>
      </c>
      <c r="C6" s="20">
        <f>C3*K3</f>
        <v>84.24480755614276</v>
      </c>
    </row>
    <row r="7" spans="1:11" x14ac:dyDescent="0.2">
      <c r="A7" s="21" t="s">
        <v>19</v>
      </c>
      <c r="B7" s="3" t="s">
        <v>2</v>
      </c>
      <c r="C7" s="14">
        <v>1</v>
      </c>
    </row>
    <row r="8" spans="1:11" ht="17" thickBot="1" x14ac:dyDescent="0.25">
      <c r="A8" s="21" t="s">
        <v>19</v>
      </c>
      <c r="B8" s="2" t="s">
        <v>8</v>
      </c>
      <c r="C8" s="13">
        <v>1</v>
      </c>
    </row>
    <row r="9" spans="1:11" x14ac:dyDescent="0.2">
      <c r="A9" s="21" t="s">
        <v>19</v>
      </c>
      <c r="B9" s="1" t="s">
        <v>9</v>
      </c>
      <c r="C9" s="12">
        <v>1</v>
      </c>
    </row>
    <row r="10" spans="1:11" ht="17" thickBot="1" x14ac:dyDescent="0.25">
      <c r="A10" s="21" t="s">
        <v>19</v>
      </c>
      <c r="B10" s="2" t="s">
        <v>11</v>
      </c>
      <c r="C10" s="13">
        <v>1</v>
      </c>
    </row>
    <row r="11" spans="1:11" ht="17" thickBot="1" x14ac:dyDescent="0.25">
      <c r="A11" s="21" t="s">
        <v>19</v>
      </c>
      <c r="B11" s="4" t="s">
        <v>17</v>
      </c>
      <c r="C11" s="17">
        <v>0.51</v>
      </c>
    </row>
    <row r="14" spans="1:11" ht="17" thickBot="1" x14ac:dyDescent="0.25"/>
    <row r="15" spans="1:11" ht="17" thickBot="1" x14ac:dyDescent="0.25">
      <c r="B15" s="23" t="s">
        <v>15</v>
      </c>
      <c r="C15" s="24"/>
    </row>
    <row r="16" spans="1:11" ht="17" thickBot="1" x14ac:dyDescent="0.25">
      <c r="B16" s="4" t="s">
        <v>5</v>
      </c>
      <c r="C16" s="15">
        <f>((C3*K3) +C4) / K3</f>
        <v>1.0118701677766144</v>
      </c>
    </row>
    <row r="17" spans="2:3" ht="17" thickBot="1" x14ac:dyDescent="0.25">
      <c r="B17" s="4" t="s">
        <v>13</v>
      </c>
      <c r="C17" s="15">
        <f>(C5+C8) / (C6+C7)</f>
        <v>0.51574815069735813</v>
      </c>
    </row>
    <row r="18" spans="2:3" ht="17" thickBot="1" x14ac:dyDescent="0.25">
      <c r="B18" s="4" t="s">
        <v>12</v>
      </c>
      <c r="C18" s="15">
        <f>((C9*K4) + C10) / K4</f>
        <v>2.1870167776614315</v>
      </c>
    </row>
  </sheetData>
  <mergeCells count="3">
    <mergeCell ref="B1:C1"/>
    <mergeCell ref="B15:C15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 état futur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Fien De Doncker</dc:creator>
  <cp:lastModifiedBy>Fien De Doncker</cp:lastModifiedBy>
  <dcterms:created xsi:type="dcterms:W3CDTF">2024-04-17T22:16:16Z</dcterms:created>
  <dcterms:modified xsi:type="dcterms:W3CDTF">2024-08-27T08:07:44Z</dcterms:modified>
</cp:coreProperties>
</file>