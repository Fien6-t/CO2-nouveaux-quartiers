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6tchmacbook/Downloads/Excel_Tools/OUTIL V3/"/>
    </mc:Choice>
  </mc:AlternateContent>
  <xr:revisionPtr revIDLastSave="0" documentId="13_ncr:1_{35419007-77EC-B742-875E-E6FCB55779DB}" xr6:coauthVersionLast="47" xr6:coauthVersionMax="47" xr10:uidLastSave="{00000000-0000-0000-0000-000000000000}"/>
  <bookViews>
    <workbookView xWindow="-5140" yWindow="-21100" windowWidth="34940" windowHeight="21100" activeTab="19" xr2:uid="{417045E2-D633-7947-B316-2F56FFE1CE16}"/>
  </bookViews>
  <sheets>
    <sheet name="B_DENS" sheetId="1" state="hidden" r:id="rId1"/>
    <sheet name="B15BTOT" sheetId="2" state="hidden" r:id="rId2"/>
    <sheet name="ENTROPY" sheetId="3" state="hidden" r:id="rId3"/>
    <sheet name="FEUX_R_ARE" sheetId="4" state="hidden" r:id="rId4"/>
    <sheet name="MAX_DTV" sheetId="5" state="hidden" r:id="rId5"/>
    <sheet name="P_comb_tc" sheetId="6" state="hidden" r:id="rId6"/>
    <sheet name="P_comb_tim" sheetId="7" state="hidden" r:id="rId7"/>
    <sheet name="R_EMPHAB" sheetId="9" state="hidden" r:id="rId8"/>
    <sheet name="ROAD_DENS" sheetId="10" state="hidden" r:id="rId9"/>
    <sheet name="TROTT_DENS" sheetId="11" state="hidden" r:id="rId10"/>
    <sheet name="TYPO_TD" sheetId="12" state="hidden" r:id="rId11"/>
    <sheet name="W_OeV_KLASSE" sheetId="13" state="hidden" r:id="rId12"/>
    <sheet name="Places_Parking" sheetId="20" state="hidden" r:id="rId13"/>
    <sheet name="Example plot enquête" sheetId="22" state="hidden" r:id="rId14"/>
    <sheet name="enquêtes TIM" sheetId="15" state="hidden" r:id="rId15"/>
    <sheet name="enquêtes MD" sheetId="16" state="hidden" r:id="rId16"/>
    <sheet name="enquêtes TC" sheetId="17" state="hidden" r:id="rId17"/>
    <sheet name="Calculs_modele" sheetId="18" state="hidden" r:id="rId18"/>
    <sheet name="Calculs_enquete" sheetId="19" state="hidden" r:id="rId19"/>
    <sheet name="RESULTATS" sheetId="14" r:id="rId20"/>
    <sheet name="Analyse variables à enlever" sheetId="21" state="hidden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5" l="1"/>
  <c r="B31" i="15"/>
  <c r="C30" i="15"/>
  <c r="C32" i="15"/>
  <c r="N3" i="20"/>
  <c r="N2" i="20"/>
  <c r="N3" i="13"/>
  <c r="N2" i="13"/>
  <c r="N3" i="12"/>
  <c r="N2" i="12"/>
  <c r="N3" i="11"/>
  <c r="N2" i="11"/>
  <c r="N3" i="10"/>
  <c r="N2" i="10"/>
  <c r="N3" i="9"/>
  <c r="N2" i="9"/>
  <c r="N3" i="6"/>
  <c r="N2" i="6"/>
  <c r="N3" i="5"/>
  <c r="N2" i="5"/>
  <c r="N3" i="4"/>
  <c r="N2" i="4"/>
  <c r="N3" i="3"/>
  <c r="N2" i="3"/>
  <c r="N3" i="2"/>
  <c r="N2" i="2"/>
  <c r="N3" i="1"/>
  <c r="N2" i="1"/>
  <c r="C9" i="21"/>
  <c r="F14" i="21"/>
  <c r="D4" i="21"/>
  <c r="C8" i="21"/>
  <c r="E8" i="21"/>
  <c r="C16" i="21"/>
  <c r="C5" i="21"/>
  <c r="H12" i="21"/>
  <c r="G14" i="21"/>
  <c r="D5" i="21"/>
  <c r="E9" i="21"/>
  <c r="E13" i="21"/>
  <c r="G5" i="21"/>
  <c r="D11" i="21"/>
  <c r="C11" i="21"/>
  <c r="G9" i="21"/>
  <c r="G7" i="21"/>
  <c r="C7" i="21"/>
  <c r="D7" i="21"/>
  <c r="H9" i="21"/>
  <c r="D8" i="21"/>
  <c r="E7" i="21"/>
  <c r="D13" i="21"/>
  <c r="H11" i="21"/>
  <c r="H13" i="21"/>
  <c r="G6" i="21"/>
  <c r="D16" i="21"/>
  <c r="E4" i="21"/>
  <c r="E12" i="21"/>
  <c r="D9" i="21"/>
  <c r="D10" i="21"/>
  <c r="G16" i="21"/>
  <c r="F10" i="21"/>
  <c r="F4" i="21"/>
  <c r="E6" i="21"/>
  <c r="G11" i="21"/>
  <c r="C6" i="21"/>
  <c r="G8" i="21"/>
  <c r="F6" i="21"/>
  <c r="H14" i="21"/>
  <c r="H8" i="21"/>
  <c r="E16" i="21"/>
  <c r="G15" i="21"/>
  <c r="H16" i="21"/>
  <c r="F11" i="21"/>
  <c r="C12" i="21"/>
  <c r="D12" i="21"/>
  <c r="G4" i="21"/>
  <c r="C15" i="21"/>
  <c r="F16" i="21"/>
  <c r="F15" i="21"/>
  <c r="E15" i="21"/>
  <c r="C13" i="21"/>
  <c r="F8" i="21"/>
  <c r="H6" i="21"/>
  <c r="F7" i="21"/>
  <c r="D15" i="21"/>
  <c r="D6" i="21"/>
  <c r="H7" i="21"/>
  <c r="C14" i="21"/>
  <c r="H5" i="21"/>
  <c r="E11" i="21"/>
  <c r="E5" i="21"/>
  <c r="H10" i="21"/>
  <c r="G13" i="21"/>
  <c r="H4" i="21"/>
  <c r="G10" i="21"/>
  <c r="E10" i="21"/>
  <c r="F9" i="21"/>
  <c r="E14" i="21"/>
  <c r="F13" i="21"/>
  <c r="C4" i="21"/>
  <c r="D14" i="21"/>
  <c r="G12" i="21"/>
  <c r="F5" i="21"/>
  <c r="H15" i="21"/>
  <c r="F12" i="21"/>
  <c r="C10" i="21"/>
  <c r="K12" i="21" l="1"/>
  <c r="K6" i="21"/>
  <c r="K5" i="21"/>
  <c r="K9" i="21"/>
  <c r="K14" i="21"/>
  <c r="K11" i="21"/>
  <c r="K16" i="21"/>
  <c r="K8" i="21"/>
  <c r="K13" i="21"/>
  <c r="K10" i="21"/>
  <c r="K15" i="21"/>
  <c r="K7" i="21"/>
  <c r="K4" i="21"/>
  <c r="J15" i="21"/>
  <c r="J7" i="21"/>
  <c r="J6" i="21"/>
  <c r="J5" i="21"/>
  <c r="J12" i="21"/>
  <c r="J9" i="21"/>
  <c r="J14" i="21"/>
  <c r="J11" i="21"/>
  <c r="J16" i="21"/>
  <c r="J8" i="21"/>
  <c r="J13" i="21"/>
  <c r="J10" i="21"/>
  <c r="J4" i="21"/>
  <c r="I4" i="21"/>
  <c r="I10" i="21"/>
  <c r="I7" i="21"/>
  <c r="I6" i="21"/>
  <c r="I15" i="21"/>
  <c r="I12" i="21"/>
  <c r="I9" i="21"/>
  <c r="I14" i="21"/>
  <c r="I11" i="21"/>
  <c r="I16" i="21"/>
  <c r="I8" i="21"/>
  <c r="I13" i="21"/>
  <c r="I5" i="21"/>
  <c r="N13" i="21" l="1"/>
  <c r="O13" i="21" s="1"/>
  <c r="N6" i="21"/>
  <c r="O6" i="21" s="1"/>
  <c r="P4" i="21"/>
  <c r="Q4" i="21" s="1"/>
  <c r="N7" i="21"/>
  <c r="O7" i="21" s="1"/>
  <c r="N15" i="21"/>
  <c r="O15" i="21" s="1"/>
  <c r="N16" i="21"/>
  <c r="O16" i="21" s="1"/>
  <c r="N14" i="21"/>
  <c r="O14" i="21" s="1"/>
  <c r="N9" i="21"/>
  <c r="O9" i="21" s="1"/>
  <c r="N12" i="21"/>
  <c r="O12" i="21" s="1"/>
  <c r="N8" i="21"/>
  <c r="O8" i="21" s="1"/>
  <c r="N11" i="21"/>
  <c r="O11" i="21" s="1"/>
  <c r="N10" i="21"/>
  <c r="O10" i="21" s="1"/>
  <c r="N5" i="21"/>
  <c r="O5" i="21" s="1"/>
  <c r="N4" i="21"/>
  <c r="O4" i="21" s="1"/>
  <c r="L11" i="21"/>
  <c r="M11" i="21" s="1"/>
  <c r="L12" i="21"/>
  <c r="M12" i="21" s="1"/>
  <c r="L15" i="21"/>
  <c r="M15" i="21" s="1"/>
  <c r="L6" i="21"/>
  <c r="M6" i="21" s="1"/>
  <c r="L8" i="21"/>
  <c r="M8" i="21" s="1"/>
  <c r="L7" i="21"/>
  <c r="M7" i="21" s="1"/>
  <c r="L14" i="21"/>
  <c r="M14" i="21" s="1"/>
  <c r="L9" i="21"/>
  <c r="M9" i="21" s="1"/>
  <c r="L5" i="21"/>
  <c r="M5" i="21" s="1"/>
  <c r="L13" i="21"/>
  <c r="M13" i="21" s="1"/>
  <c r="L16" i="21"/>
  <c r="M16" i="21" s="1"/>
  <c r="L10" i="21"/>
  <c r="M10" i="21" s="1"/>
  <c r="L4" i="21"/>
  <c r="M4" i="21" s="1"/>
  <c r="J3" i="20"/>
  <c r="K3" i="20"/>
  <c r="L3" i="20"/>
  <c r="L11" i="20"/>
  <c r="K11" i="20"/>
  <c r="J11" i="20"/>
  <c r="L10" i="20"/>
  <c r="K10" i="20"/>
  <c r="J10" i="20"/>
  <c r="L9" i="20"/>
  <c r="K9" i="20"/>
  <c r="J9" i="20"/>
  <c r="L8" i="20"/>
  <c r="K8" i="20"/>
  <c r="J8" i="20"/>
  <c r="L7" i="20"/>
  <c r="K7" i="20"/>
  <c r="J7" i="20"/>
  <c r="L6" i="20"/>
  <c r="K6" i="20"/>
  <c r="J6" i="20"/>
  <c r="L5" i="20"/>
  <c r="K5" i="20"/>
  <c r="J5" i="20"/>
  <c r="L4" i="20"/>
  <c r="K4" i="20"/>
  <c r="J4" i="20"/>
  <c r="F4" i="20"/>
  <c r="G4" i="20"/>
  <c r="H4" i="20"/>
  <c r="F5" i="20"/>
  <c r="G5" i="20"/>
  <c r="H5" i="20"/>
  <c r="F6" i="20"/>
  <c r="G6" i="20"/>
  <c r="H6" i="20"/>
  <c r="F7" i="20"/>
  <c r="G7" i="20"/>
  <c r="H7" i="20"/>
  <c r="F8" i="20"/>
  <c r="G8" i="20"/>
  <c r="H8" i="20"/>
  <c r="F9" i="20"/>
  <c r="G9" i="20"/>
  <c r="H9" i="20"/>
  <c r="F10" i="20"/>
  <c r="G10" i="20"/>
  <c r="H10" i="20"/>
  <c r="F11" i="20"/>
  <c r="G11" i="20"/>
  <c r="H11" i="20"/>
  <c r="G3" i="20"/>
  <c r="H3" i="20"/>
  <c r="F3" i="20"/>
  <c r="B4" i="20"/>
  <c r="C4" i="20"/>
  <c r="D4" i="20"/>
  <c r="B5" i="20"/>
  <c r="C5" i="20"/>
  <c r="D5" i="20"/>
  <c r="B6" i="20"/>
  <c r="C6" i="20"/>
  <c r="D6" i="20"/>
  <c r="B7" i="20"/>
  <c r="C7" i="20"/>
  <c r="D7" i="20"/>
  <c r="B8" i="20"/>
  <c r="C8" i="20"/>
  <c r="D8" i="20"/>
  <c r="B9" i="20"/>
  <c r="C9" i="20"/>
  <c r="D9" i="20"/>
  <c r="B10" i="20"/>
  <c r="C10" i="20"/>
  <c r="D10" i="20"/>
  <c r="B11" i="20"/>
  <c r="C11" i="20"/>
  <c r="D11" i="20"/>
  <c r="C3" i="20"/>
  <c r="D3" i="20"/>
  <c r="B3" i="20"/>
  <c r="R4" i="21" l="1"/>
  <c r="P6" i="21"/>
  <c r="Q6" i="21" s="1"/>
  <c r="P9" i="21"/>
  <c r="Q9" i="21" s="1"/>
  <c r="P10" i="21"/>
  <c r="Q10" i="21" s="1"/>
  <c r="P16" i="21"/>
  <c r="Q16" i="21" s="1"/>
  <c r="P12" i="21"/>
  <c r="Q12" i="21" s="1"/>
  <c r="P11" i="21"/>
  <c r="Q11" i="21" s="1"/>
  <c r="P15" i="21"/>
  <c r="Q15" i="21" s="1"/>
  <c r="P13" i="21"/>
  <c r="Q13" i="21" s="1"/>
  <c r="P5" i="21"/>
  <c r="Q5" i="21" s="1"/>
  <c r="P14" i="21"/>
  <c r="Q14" i="21" s="1"/>
  <c r="P7" i="21"/>
  <c r="Q7" i="21" s="1"/>
  <c r="P8" i="21"/>
  <c r="Q8" i="21" s="1"/>
  <c r="C11" i="18"/>
  <c r="C10" i="18"/>
  <c r="G3" i="19"/>
  <c r="AA3" i="14" s="1"/>
  <c r="G4" i="19"/>
  <c r="AA4" i="14" s="1"/>
  <c r="G5" i="19"/>
  <c r="AA5" i="14" s="1"/>
  <c r="G6" i="19"/>
  <c r="AA6" i="14" s="1"/>
  <c r="G7" i="19"/>
  <c r="AA7" i="14" s="1"/>
  <c r="G8" i="19"/>
  <c r="AA8" i="14" s="1"/>
  <c r="G9" i="19"/>
  <c r="AA9" i="14" s="1"/>
  <c r="G10" i="19"/>
  <c r="AA10" i="14" s="1"/>
  <c r="G2" i="19"/>
  <c r="AA2" i="14" s="1"/>
  <c r="E2" i="19"/>
  <c r="Z2" i="14" s="1"/>
  <c r="E3" i="19"/>
  <c r="Z3" i="14" s="1"/>
  <c r="E4" i="19"/>
  <c r="Z4" i="14" s="1"/>
  <c r="E5" i="19"/>
  <c r="Z5" i="14" s="1"/>
  <c r="E6" i="19"/>
  <c r="Z6" i="14" s="1"/>
  <c r="E7" i="19"/>
  <c r="Z7" i="14" s="1"/>
  <c r="E8" i="19"/>
  <c r="Z8" i="14" s="1"/>
  <c r="E9" i="19"/>
  <c r="Z9" i="14" s="1"/>
  <c r="E10" i="19"/>
  <c r="Z10" i="14" s="1"/>
  <c r="C2" i="19"/>
  <c r="H11" i="18" a="1"/>
  <c r="E11" i="18" a="1"/>
  <c r="H10" i="18"/>
  <c r="J10" i="18"/>
  <c r="I10" i="18"/>
  <c r="F11" i="18" a="1"/>
  <c r="F10" i="18"/>
  <c r="D11" i="18" a="1"/>
  <c r="E10" i="18"/>
  <c r="I11" i="18" a="1"/>
  <c r="J11" i="18" a="1"/>
  <c r="D10" i="18"/>
  <c r="G10" i="14" l="1"/>
  <c r="R15" i="21"/>
  <c r="R6" i="21"/>
  <c r="R13" i="21"/>
  <c r="R8" i="21"/>
  <c r="R16" i="21"/>
  <c r="R9" i="21"/>
  <c r="R7" i="21"/>
  <c r="R5" i="21"/>
  <c r="R14" i="21"/>
  <c r="R12" i="21"/>
  <c r="R10" i="21"/>
  <c r="R11" i="21"/>
  <c r="S10" i="18"/>
  <c r="H11" i="18"/>
  <c r="R10" i="18"/>
  <c r="J11" i="18"/>
  <c r="F11" i="18"/>
  <c r="I11" i="18"/>
  <c r="D11" i="18"/>
  <c r="E11" i="18"/>
  <c r="C3" i="19"/>
  <c r="C4" i="19"/>
  <c r="C5" i="19"/>
  <c r="C6" i="19"/>
  <c r="C7" i="19"/>
  <c r="C8" i="19"/>
  <c r="C9" i="19"/>
  <c r="C10" i="19"/>
  <c r="N11" i="18" a="1"/>
  <c r="L10" i="18"/>
  <c r="M10" i="18"/>
  <c r="M11" i="18" a="1"/>
  <c r="N10" i="18"/>
  <c r="L11" i="18" a="1"/>
  <c r="J10" i="14" l="1"/>
  <c r="M11" i="18"/>
  <c r="D11" i="14"/>
  <c r="S7" i="21"/>
  <c r="S4" i="21"/>
  <c r="T4" i="21" s="1"/>
  <c r="S5" i="21"/>
  <c r="S9" i="21"/>
  <c r="S16" i="21"/>
  <c r="S11" i="21"/>
  <c r="S8" i="21"/>
  <c r="S10" i="21"/>
  <c r="S13" i="21"/>
  <c r="S12" i="21"/>
  <c r="S6" i="21"/>
  <c r="S14" i="21"/>
  <c r="S15" i="21"/>
  <c r="N11" i="18"/>
  <c r="T10" i="18"/>
  <c r="L11" i="18"/>
  <c r="S11" i="18"/>
  <c r="R11" i="18"/>
  <c r="F11" i="14"/>
  <c r="G11" i="14"/>
  <c r="H11" i="14"/>
  <c r="I11" i="14"/>
  <c r="E11" i="14" l="1"/>
  <c r="T10" i="21"/>
  <c r="U10" i="21" s="1"/>
  <c r="T16" i="21"/>
  <c r="U16" i="21" s="1"/>
  <c r="T14" i="21"/>
  <c r="U14" i="21" s="1"/>
  <c r="T9" i="21"/>
  <c r="U9" i="21" s="1"/>
  <c r="T8" i="21"/>
  <c r="U8" i="21" s="1"/>
  <c r="T5" i="21"/>
  <c r="U5" i="21" s="1"/>
  <c r="T11" i="21"/>
  <c r="U11" i="21" s="1"/>
  <c r="T15" i="21"/>
  <c r="U15" i="21" s="1"/>
  <c r="T6" i="21"/>
  <c r="U6" i="21" s="1"/>
  <c r="T12" i="21"/>
  <c r="U12" i="21" s="1"/>
  <c r="T13" i="21"/>
  <c r="U13" i="21" s="1"/>
  <c r="T7" i="21"/>
  <c r="U7" i="21" s="1"/>
  <c r="U4" i="21"/>
  <c r="V4" i="21" s="1"/>
  <c r="T11" i="18"/>
  <c r="J11" i="14"/>
  <c r="L11" i="14"/>
  <c r="C3" i="18"/>
  <c r="C4" i="18"/>
  <c r="C5" i="18"/>
  <c r="C6" i="18"/>
  <c r="C7" i="18"/>
  <c r="C8" i="18"/>
  <c r="C9" i="18"/>
  <c r="C2" i="18"/>
  <c r="H4" i="18" a="1"/>
  <c r="D7" i="18" a="1"/>
  <c r="F6" i="18" a="1"/>
  <c r="F9" i="18" a="1"/>
  <c r="D6" i="18" a="1"/>
  <c r="J3" i="18" a="1"/>
  <c r="J8" i="18" a="1"/>
  <c r="D9" i="18" a="1"/>
  <c r="H3" i="18" a="1"/>
  <c r="I6" i="18" a="1"/>
  <c r="H6" i="18" a="1"/>
  <c r="D2" i="18" a="1"/>
  <c r="E4" i="18" a="1"/>
  <c r="D8" i="18" a="1"/>
  <c r="E3" i="18" a="1"/>
  <c r="J6" i="18" a="1"/>
  <c r="I2" i="18" a="1"/>
  <c r="D4" i="18" a="1"/>
  <c r="H2" i="18" a="1"/>
  <c r="H9" i="18" a="1"/>
  <c r="J4" i="18" a="1"/>
  <c r="H5" i="18" a="1"/>
  <c r="F7" i="18" a="1"/>
  <c r="J7" i="18" a="1"/>
  <c r="J5" i="18" a="1"/>
  <c r="F8" i="18" a="1"/>
  <c r="E9" i="18" a="1"/>
  <c r="E5" i="18" a="1"/>
  <c r="J2" i="18" a="1"/>
  <c r="I5" i="18" a="1"/>
  <c r="I4" i="18" a="1"/>
  <c r="E7" i="18" a="1"/>
  <c r="F4" i="18" a="1"/>
  <c r="H8" i="18" a="1"/>
  <c r="E6" i="18" a="1"/>
  <c r="E2" i="18" a="1"/>
  <c r="H7" i="18" a="1"/>
  <c r="F2" i="18" a="1"/>
  <c r="E8" i="18" a="1"/>
  <c r="D5" i="18" a="1"/>
  <c r="I7" i="18" a="1"/>
  <c r="I8" i="18" a="1"/>
  <c r="I9" i="18" a="1"/>
  <c r="J9" i="18" a="1"/>
  <c r="I3" i="18" a="1"/>
  <c r="D3" i="18" a="1"/>
  <c r="F5" i="18" a="1"/>
  <c r="F3" i="18" a="1"/>
  <c r="D2" i="18" l="1"/>
  <c r="V5" i="21"/>
  <c r="V6" i="21" s="1"/>
  <c r="V7" i="21" s="1"/>
  <c r="V8" i="21" s="1"/>
  <c r="V9" i="21" s="1"/>
  <c r="V10" i="21" s="1"/>
  <c r="V11" i="21" s="1"/>
  <c r="V12" i="21" s="1"/>
  <c r="V13" i="21" s="1"/>
  <c r="V14" i="21" s="1"/>
  <c r="V15" i="21" s="1"/>
  <c r="V16" i="21" s="1"/>
  <c r="K23" i="21" s="1"/>
  <c r="K11" i="14"/>
  <c r="I6" i="18"/>
  <c r="D6" i="18"/>
  <c r="J6" i="18"/>
  <c r="E6" i="18"/>
  <c r="H6" i="18"/>
  <c r="F6" i="18"/>
  <c r="I5" i="18"/>
  <c r="D5" i="18"/>
  <c r="J5" i="18"/>
  <c r="E5" i="18"/>
  <c r="H5" i="18"/>
  <c r="F5" i="18"/>
  <c r="I4" i="18"/>
  <c r="D4" i="18"/>
  <c r="J4" i="18"/>
  <c r="E4" i="18"/>
  <c r="H4" i="18"/>
  <c r="F4" i="18"/>
  <c r="I3" i="18"/>
  <c r="D3" i="18"/>
  <c r="J3" i="18"/>
  <c r="E3" i="18"/>
  <c r="H3" i="18"/>
  <c r="F3" i="18"/>
  <c r="I2" i="18"/>
  <c r="J2" i="18"/>
  <c r="E2" i="18"/>
  <c r="H2" i="18"/>
  <c r="F2" i="18"/>
  <c r="I9" i="18"/>
  <c r="D9" i="18"/>
  <c r="J9" i="18"/>
  <c r="E9" i="18"/>
  <c r="H9" i="18"/>
  <c r="F9" i="18"/>
  <c r="I8" i="18"/>
  <c r="D8" i="18"/>
  <c r="J8" i="18"/>
  <c r="E8" i="18"/>
  <c r="H8" i="18"/>
  <c r="F8" i="18"/>
  <c r="I7" i="18"/>
  <c r="D7" i="18"/>
  <c r="J7" i="18"/>
  <c r="E7" i="18"/>
  <c r="H7" i="18"/>
  <c r="F7" i="18"/>
  <c r="N4" i="18" a="1"/>
  <c r="M5" i="18" a="1"/>
  <c r="N8" i="18" a="1"/>
  <c r="M4" i="18" a="1"/>
  <c r="N7" i="18" a="1"/>
  <c r="M6" i="18" a="1"/>
  <c r="L3" i="18" a="1"/>
  <c r="N9" i="18" a="1"/>
  <c r="L6" i="18" a="1"/>
  <c r="L9" i="18" a="1"/>
  <c r="N6" i="18" a="1"/>
  <c r="N5" i="18" a="1"/>
  <c r="L5" i="18" a="1"/>
  <c r="M3" i="18" a="1"/>
  <c r="N2" i="18" a="1"/>
  <c r="L2" i="18" a="1"/>
  <c r="M8" i="18" a="1"/>
  <c r="L4" i="18" a="1"/>
  <c r="M2" i="18" a="1"/>
  <c r="N3" i="18" a="1"/>
  <c r="M7" i="18" a="1"/>
  <c r="L7" i="18" a="1"/>
  <c r="M9" i="18" a="1"/>
  <c r="L8" i="18" a="1"/>
  <c r="S2" i="18" l="1"/>
  <c r="M3" i="18"/>
  <c r="M6" i="18"/>
  <c r="M9" i="18"/>
  <c r="M4" i="18"/>
  <c r="M8" i="18"/>
  <c r="M7" i="18"/>
  <c r="M5" i="18"/>
  <c r="R9" i="18"/>
  <c r="R2" i="18"/>
  <c r="S7" i="18"/>
  <c r="S3" i="18"/>
  <c r="R5" i="18"/>
  <c r="R3" i="18"/>
  <c r="R8" i="18"/>
  <c r="S9" i="18"/>
  <c r="S4" i="18"/>
  <c r="S8" i="18"/>
  <c r="R4" i="18"/>
  <c r="N3" i="18"/>
  <c r="L8" i="18"/>
  <c r="L4" i="18"/>
  <c r="N9" i="18"/>
  <c r="L2" i="18"/>
  <c r="L5" i="18"/>
  <c r="N6" i="18"/>
  <c r="N7" i="18"/>
  <c r="L7" i="18"/>
  <c r="M2" i="18"/>
  <c r="N2" i="18"/>
  <c r="N8" i="18"/>
  <c r="L9" i="18"/>
  <c r="N4" i="18"/>
  <c r="L6" i="18"/>
  <c r="L3" i="18"/>
  <c r="N5" i="18"/>
  <c r="S6" i="18"/>
  <c r="R7" i="18"/>
  <c r="R6" i="18"/>
  <c r="S5" i="18"/>
  <c r="H10" i="14"/>
  <c r="I10" i="14" s="1"/>
  <c r="G12" i="18" l="1"/>
  <c r="T6" i="18"/>
  <c r="T3" i="18"/>
  <c r="T8" i="18"/>
  <c r="T7" i="18"/>
  <c r="T9" i="18"/>
  <c r="T2" i="18"/>
  <c r="K12" i="18"/>
  <c r="K8" i="18" s="1"/>
  <c r="T5" i="18"/>
  <c r="T4" i="18"/>
  <c r="L10" i="14"/>
  <c r="K10" i="14" s="1"/>
  <c r="AD8" i="14" l="1"/>
  <c r="G2" i="18"/>
  <c r="Y2" i="14" s="1"/>
  <c r="G3" i="18"/>
  <c r="G9" i="18"/>
  <c r="K3" i="18"/>
  <c r="K7" i="18"/>
  <c r="K6" i="18"/>
  <c r="AD6" i="14" s="1"/>
  <c r="G6" i="18"/>
  <c r="O12" i="18"/>
  <c r="O7" i="18" s="1"/>
  <c r="K9" i="18"/>
  <c r="AD9" i="14" s="1"/>
  <c r="G11" i="18"/>
  <c r="K11" i="18"/>
  <c r="G8" i="18"/>
  <c r="AC8" i="14" s="1"/>
  <c r="G5" i="18"/>
  <c r="AC5" i="14" s="1"/>
  <c r="G10" i="18"/>
  <c r="AC10" i="14" s="1"/>
  <c r="U10" i="14" s="1"/>
  <c r="K2" i="18"/>
  <c r="AD2" i="14" s="1"/>
  <c r="G7" i="18"/>
  <c r="AC7" i="14" s="1"/>
  <c r="G4" i="18"/>
  <c r="K10" i="18"/>
  <c r="K4" i="18"/>
  <c r="AD4" i="14" s="1"/>
  <c r="K5" i="18"/>
  <c r="AE7" i="14" l="1"/>
  <c r="AD3" i="14"/>
  <c r="AD10" i="14"/>
  <c r="AD7" i="14"/>
  <c r="AD5" i="14"/>
  <c r="AC2" i="14"/>
  <c r="Y4" i="14"/>
  <c r="AC4" i="14"/>
  <c r="Y9" i="14"/>
  <c r="AC9" i="14"/>
  <c r="Y6" i="14"/>
  <c r="AC6" i="14"/>
  <c r="Y3" i="14"/>
  <c r="AC3" i="14"/>
  <c r="Y11" i="14"/>
  <c r="AC11" i="14"/>
  <c r="U11" i="14" s="1"/>
  <c r="Z11" i="14"/>
  <c r="AD11" i="14"/>
  <c r="V11" i="14" s="1"/>
  <c r="Y5" i="14"/>
  <c r="Y8" i="14"/>
  <c r="Y7" i="14"/>
  <c r="Y10" i="14"/>
  <c r="O6" i="18"/>
  <c r="AE6" i="14" s="1"/>
  <c r="O3" i="18"/>
  <c r="O8" i="18"/>
  <c r="O11" i="18"/>
  <c r="AE11" i="14" s="1"/>
  <c r="W11" i="14" s="1"/>
  <c r="O5" i="18"/>
  <c r="O9" i="18"/>
  <c r="AE9" i="14" s="1"/>
  <c r="O10" i="18"/>
  <c r="O4" i="18"/>
  <c r="AE4" i="14" s="1"/>
  <c r="O2" i="18"/>
  <c r="AE2" i="14" s="1"/>
  <c r="F13" i="17"/>
  <c r="G13" i="17" s="1"/>
  <c r="F10" i="19" s="1"/>
  <c r="F12" i="17"/>
  <c r="G12" i="17" s="1"/>
  <c r="F9" i="19" s="1"/>
  <c r="F11" i="17"/>
  <c r="G11" i="17" s="1"/>
  <c r="F8" i="19" s="1"/>
  <c r="F10" i="17"/>
  <c r="G10" i="17" s="1"/>
  <c r="F7" i="19" s="1"/>
  <c r="F9" i="17"/>
  <c r="G9" i="17" s="1"/>
  <c r="F6" i="19" s="1"/>
  <c r="F8" i="17"/>
  <c r="G8" i="17" s="1"/>
  <c r="F7" i="17"/>
  <c r="G7" i="17" s="1"/>
  <c r="F6" i="17"/>
  <c r="G6" i="17" s="1"/>
  <c r="F5" i="17"/>
  <c r="G5" i="17" s="1"/>
  <c r="F5" i="19" s="1"/>
  <c r="F4" i="17"/>
  <c r="G4" i="17" s="1"/>
  <c r="F4" i="19" s="1"/>
  <c r="F3" i="17"/>
  <c r="G3" i="17" s="1"/>
  <c r="F3" i="19" s="1"/>
  <c r="F2" i="17"/>
  <c r="G2" i="17" s="1"/>
  <c r="F2" i="19" s="1"/>
  <c r="F13" i="16"/>
  <c r="G13" i="16" s="1"/>
  <c r="D10" i="19" s="1"/>
  <c r="F12" i="16"/>
  <c r="G12" i="16" s="1"/>
  <c r="D9" i="19" s="1"/>
  <c r="F11" i="16"/>
  <c r="G11" i="16" s="1"/>
  <c r="D8" i="19" s="1"/>
  <c r="F10" i="16"/>
  <c r="G10" i="16" s="1"/>
  <c r="D7" i="19" s="1"/>
  <c r="F9" i="16"/>
  <c r="G9" i="16" s="1"/>
  <c r="D6" i="19" s="1"/>
  <c r="F8" i="16"/>
  <c r="G8" i="16" s="1"/>
  <c r="F7" i="16"/>
  <c r="G7" i="16" s="1"/>
  <c r="F6" i="16"/>
  <c r="G6" i="16" s="1"/>
  <c r="F5" i="16"/>
  <c r="G5" i="16" s="1"/>
  <c r="D5" i="19" s="1"/>
  <c r="F4" i="16"/>
  <c r="G4" i="16" s="1"/>
  <c r="D4" i="19" s="1"/>
  <c r="F3" i="16"/>
  <c r="G3" i="16" s="1"/>
  <c r="D3" i="19" s="1"/>
  <c r="F2" i="16"/>
  <c r="G2" i="16" s="1"/>
  <c r="D2" i="19" s="1"/>
  <c r="G2" i="14" s="1"/>
  <c r="F13" i="15"/>
  <c r="G13" i="15" s="1"/>
  <c r="B10" i="19" s="1"/>
  <c r="F3" i="15"/>
  <c r="G3" i="15" s="1"/>
  <c r="B3" i="19" s="1"/>
  <c r="F4" i="15"/>
  <c r="G4" i="15" s="1"/>
  <c r="B4" i="19" s="1"/>
  <c r="F5" i="15"/>
  <c r="G5" i="15" s="1"/>
  <c r="B5" i="19" s="1"/>
  <c r="F6" i="15"/>
  <c r="G6" i="15" s="1"/>
  <c r="F7" i="15"/>
  <c r="G7" i="15" s="1"/>
  <c r="F8" i="15"/>
  <c r="G8" i="15" s="1"/>
  <c r="F9" i="15"/>
  <c r="G9" i="15" s="1"/>
  <c r="B6" i="19" s="1"/>
  <c r="F10" i="15"/>
  <c r="G10" i="15" s="1"/>
  <c r="B7" i="19" s="1"/>
  <c r="F11" i="15"/>
  <c r="G11" i="15" s="1"/>
  <c r="B8" i="19" s="1"/>
  <c r="F12" i="15"/>
  <c r="G12" i="15" s="1"/>
  <c r="B9" i="19" s="1"/>
  <c r="F2" i="15"/>
  <c r="G2" i="15" s="1"/>
  <c r="B2" i="19" s="1"/>
  <c r="D10" i="14" a="1"/>
  <c r="D2" i="14" l="1"/>
  <c r="F2" i="14" s="1"/>
  <c r="U2" i="14"/>
  <c r="D10" i="14"/>
  <c r="F10" i="14" s="1"/>
  <c r="J4" i="14"/>
  <c r="L4" i="14" s="1"/>
  <c r="K4" i="14" s="1"/>
  <c r="J9" i="14"/>
  <c r="L9" i="14" s="1"/>
  <c r="K9" i="14" s="1"/>
  <c r="J2" i="14"/>
  <c r="L2" i="14" s="1"/>
  <c r="K2" i="14" s="1"/>
  <c r="J7" i="14"/>
  <c r="L7" i="14" s="1"/>
  <c r="K7" i="14" s="1"/>
  <c r="G3" i="14"/>
  <c r="H3" i="14" s="1"/>
  <c r="I3" i="14" s="1"/>
  <c r="G8" i="14"/>
  <c r="H8" i="14" s="1"/>
  <c r="I8" i="14" s="1"/>
  <c r="G6" i="14"/>
  <c r="H6" i="14" s="1"/>
  <c r="I6" i="14" s="1"/>
  <c r="J6" i="14"/>
  <c r="L6" i="14" s="1"/>
  <c r="K6" i="14" s="1"/>
  <c r="G5" i="14"/>
  <c r="H5" i="14" s="1"/>
  <c r="I5" i="14" s="1"/>
  <c r="H2" i="14"/>
  <c r="G7" i="14"/>
  <c r="H7" i="14" s="1"/>
  <c r="I7" i="14" s="1"/>
  <c r="G4" i="14"/>
  <c r="H4" i="14" s="1"/>
  <c r="I4" i="14" s="1"/>
  <c r="G9" i="14"/>
  <c r="H9" i="14" s="1"/>
  <c r="I9" i="14" s="1"/>
  <c r="D9" i="14"/>
  <c r="F9" i="14" s="1"/>
  <c r="U8" i="14"/>
  <c r="D8" i="14"/>
  <c r="F8" i="14" s="1"/>
  <c r="U5" i="14"/>
  <c r="D5" i="14"/>
  <c r="F5" i="14" s="1"/>
  <c r="U3" i="14"/>
  <c r="D3" i="14"/>
  <c r="F3" i="14" s="1"/>
  <c r="U7" i="14"/>
  <c r="D7" i="14"/>
  <c r="F7" i="14" s="1"/>
  <c r="D6" i="14"/>
  <c r="F6" i="14" s="1"/>
  <c r="D4" i="14"/>
  <c r="F4" i="14" s="1"/>
  <c r="U4" i="14"/>
  <c r="U9" i="14"/>
  <c r="U6" i="14"/>
  <c r="AE10" i="14"/>
  <c r="AE5" i="14"/>
  <c r="J5" i="14" s="1"/>
  <c r="L5" i="14" s="1"/>
  <c r="K5" i="14" s="1"/>
  <c r="AE8" i="14"/>
  <c r="J8" i="14" s="1"/>
  <c r="L8" i="14" s="1"/>
  <c r="K8" i="14" s="1"/>
  <c r="AE3" i="14"/>
  <c r="J3" i="14" s="1"/>
  <c r="L3" i="14" s="1"/>
  <c r="K3" i="14" s="1"/>
  <c r="AA11" i="14"/>
  <c r="V10" i="14" l="1"/>
  <c r="V7" i="14"/>
  <c r="E7" i="14"/>
  <c r="W7" i="14" s="1"/>
  <c r="V8" i="14"/>
  <c r="E8" i="14"/>
  <c r="W8" i="14" s="1"/>
  <c r="V4" i="14"/>
  <c r="E4" i="14"/>
  <c r="W4" i="14" s="1"/>
  <c r="V3" i="14"/>
  <c r="E3" i="14"/>
  <c r="W3" i="14" s="1"/>
  <c r="V6" i="14"/>
  <c r="E6" i="14"/>
  <c r="W6" i="14" s="1"/>
  <c r="V9" i="14"/>
  <c r="E9" i="14"/>
  <c r="W9" i="14" s="1"/>
  <c r="D14" i="14" a="1"/>
  <c r="D14" i="14" s="1"/>
  <c r="D17" i="14" s="1"/>
  <c r="V5" i="14"/>
  <c r="E2" i="14"/>
  <c r="W2" i="14" s="1"/>
  <c r="V2" i="14"/>
  <c r="E5" i="14"/>
  <c r="W5" i="14" s="1"/>
  <c r="G14" i="14" l="1" a="1"/>
  <c r="G14" i="14" s="1"/>
  <c r="F14" i="14" a="1"/>
  <c r="F14" i="14" s="1"/>
  <c r="F17" i="14" s="1"/>
  <c r="E10" i="14"/>
  <c r="D18" i="14"/>
  <c r="E14" i="14" l="1" a="1"/>
  <c r="E14" i="14" s="1"/>
  <c r="E17" i="14" s="1"/>
  <c r="W10" i="14"/>
  <c r="R4" i="14"/>
  <c r="R3" i="14"/>
  <c r="K14" i="14" l="1" a="1"/>
  <c r="K14" i="14" s="1"/>
  <c r="K17" i="14" s="1"/>
  <c r="J14" i="14" a="1"/>
  <c r="J14" i="14" s="1"/>
  <c r="J17" i="14" s="1"/>
  <c r="L14" i="14" a="1"/>
  <c r="L14" i="14" s="1"/>
  <c r="L17" i="14" s="1"/>
  <c r="G17" i="14"/>
  <c r="G18" i="14" s="1"/>
  <c r="F18" i="14"/>
  <c r="E18" i="14"/>
  <c r="K18" i="14" l="1"/>
  <c r="L18" i="14"/>
  <c r="J18" i="14"/>
  <c r="H14" i="14" a="1"/>
  <c r="H14" i="14" s="1"/>
  <c r="H17" i="14" s="1"/>
  <c r="H18" i="14" s="1"/>
  <c r="I2" i="14"/>
  <c r="I14" i="14" s="1" a="1"/>
  <c r="I14" i="14" s="1"/>
  <c r="I17" i="14" s="1"/>
  <c r="I18" i="14" s="1"/>
  <c r="D19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<sst xmlns="http://schemas.openxmlformats.org/spreadsheetml/2006/main" count="423" uniqueCount="114">
  <si>
    <t>Treatment</t>
  </si>
  <si>
    <t>Distance TIM</t>
  </si>
  <si>
    <t>Lower_CI</t>
  </si>
  <si>
    <t>Upper_CI</t>
  </si>
  <si>
    <t>Distance MD</t>
  </si>
  <si>
    <t>Distance totale</t>
  </si>
  <si>
    <t>A</t>
  </si>
  <si>
    <t>B</t>
  </si>
  <si>
    <t>C</t>
  </si>
  <si>
    <t>D</t>
  </si>
  <si>
    <t>Hors desserte</t>
  </si>
  <si>
    <t>y = ax^2 + bx + c</t>
  </si>
  <si>
    <t>a</t>
  </si>
  <si>
    <t>b</t>
  </si>
  <si>
    <t>c</t>
  </si>
  <si>
    <t>R2</t>
  </si>
  <si>
    <t>Value</t>
  </si>
  <si>
    <t>Acc. gravitaire TIM</t>
  </si>
  <si>
    <t>Acc. gravitaire TP</t>
  </si>
  <si>
    <t>Dens. bâtiments (bât/m2)</t>
  </si>
  <si>
    <t>Dens. population (pop/ha)</t>
  </si>
  <si>
    <t>Entropie utilisation du sol</t>
  </si>
  <si>
    <t>N. intersections feux rouges (/km2)</t>
  </si>
  <si>
    <t>Charge max. du réseau (voit/j)</t>
  </si>
  <si>
    <t>Ratio emplois - habitants</t>
  </si>
  <si>
    <t>Densité routière (km/km2)</t>
  </si>
  <si>
    <t>Surf. couverte par trottoirs (km2/km2)</t>
  </si>
  <si>
    <t>Typologie courtes distances</t>
  </si>
  <si>
    <t>Classe de desserte TP</t>
  </si>
  <si>
    <t>Mean estimation (km TIM pp/j)</t>
  </si>
  <si>
    <t>Min estimation (km TIM pp/j)</t>
  </si>
  <si>
    <t>Max estimation (km TIM pp/j)</t>
  </si>
  <si>
    <t>Weight TIM</t>
  </si>
  <si>
    <t>Mean estimation (km MD pp/j)</t>
  </si>
  <si>
    <t>Min estimation (km MD pp/j)</t>
  </si>
  <si>
    <t>Max estimation (km MD pp/j)</t>
  </si>
  <si>
    <t>Weight MD</t>
  </si>
  <si>
    <t>Mean estimation (km TC pp/j)</t>
  </si>
  <si>
    <t>Min estimation (km TC pp/j)</t>
  </si>
  <si>
    <t>Max estimation (km TC pp/j)</t>
  </si>
  <si>
    <t>Weight TC</t>
  </si>
  <si>
    <t>w tim</t>
  </si>
  <si>
    <t>w MD</t>
  </si>
  <si>
    <t>w TC</t>
  </si>
  <si>
    <t>P_comb_tim</t>
  </si>
  <si>
    <t>P_comb_tc</t>
  </si>
  <si>
    <t>B_DENS</t>
  </si>
  <si>
    <t>B15BTOT</t>
  </si>
  <si>
    <t>ENTROPY</t>
  </si>
  <si>
    <t>FEUX_R_ARE</t>
  </si>
  <si>
    <t>MAX_DTV</t>
  </si>
  <si>
    <t>R_EMPHAB</t>
  </si>
  <si>
    <t>ROAD_DENS</t>
  </si>
  <si>
    <t>TROTT_DENS</t>
  </si>
  <si>
    <t>TYPO_TD</t>
  </si>
  <si>
    <t>W_OeV_KLASSE</t>
  </si>
  <si>
    <t>Places_Parking</t>
  </si>
  <si>
    <t>Nombre de places de parking par ménage</t>
  </si>
  <si>
    <t>Ce tableau se met automatiquement à jour, ne rien changer svp</t>
  </si>
  <si>
    <t>Valeur basse enquêtes</t>
  </si>
  <si>
    <t>Valeur haute enquêtes</t>
  </si>
  <si>
    <t>Mean emissions car (kg CO2 pkm)</t>
  </si>
  <si>
    <t>Mean emissions mobilité douce (kg CO2 pkm)</t>
  </si>
  <si>
    <t>Mean emissions transports en commun (kg CO2 pkm)</t>
  </si>
  <si>
    <t>Veuillez svp ne pas modifier les cellules ci-dessus</t>
  </si>
  <si>
    <t>Collez les résultats de l'application web dans le tableau bleu</t>
  </si>
  <si>
    <t>Distance voiture (km pp/j)
Moyenne</t>
  </si>
  <si>
    <t>Distance voiture (km pp/j)
Estimation basse</t>
  </si>
  <si>
    <t>Distance voiture (km pp/j)
Estimation haute</t>
  </si>
  <si>
    <t>Distance mobilité douce (km pp/j)
Moyenne</t>
  </si>
  <si>
    <t>Distance mobilité douce (km pp/j)
Estimation basse</t>
  </si>
  <si>
    <t>Distance mobilité douce (km pp/j)
Estimation haute</t>
  </si>
  <si>
    <t>Distance transports publics (km pp/j)
Moyenne</t>
  </si>
  <si>
    <t>Distance transports publics (km pp/j)
Estimation basse</t>
  </si>
  <si>
    <t>Distance transports publics (km pp/j)
Estimation haute</t>
  </si>
  <si>
    <t>Si vous voulez enlever une variable, il suffit de mettre sa valeur comme -99</t>
  </si>
  <si>
    <t>Emissions voiture (kg CO2 pp/j)
Moyenne</t>
  </si>
  <si>
    <t>Emissions voiture (kg CO2 pp/j)
Estimation basse</t>
  </si>
  <si>
    <t>Emissions voiture (kg CO2 pp/j)
Estimation haute</t>
  </si>
  <si>
    <t>Emissions mobilité douce (kg CO2 pp/j)
Moyenne</t>
  </si>
  <si>
    <t>Emissions mobilité douce (kg CO2 pp/j)
Estimation basse</t>
  </si>
  <si>
    <t>Emissions mobilité douce (kg CO2 pp/j)
Estimation haute</t>
  </si>
  <si>
    <t>Emissions transports publics (kg CO2 pp/j)
Moyenne</t>
  </si>
  <si>
    <t>Emissions transports publics (kg CO2 pp/j)
Estimation basse</t>
  </si>
  <si>
    <t>Emissions transports publics (kg CO2 pp/j)
Estimation haute</t>
  </si>
  <si>
    <t>Emissions par an</t>
  </si>
  <si>
    <t>Emissions totales par an</t>
  </si>
  <si>
    <t>Les résultats seront mis à jour automatiquement</t>
  </si>
  <si>
    <t>TIM</t>
  </si>
  <si>
    <t>MD</t>
  </si>
  <si>
    <t>TOT</t>
  </si>
  <si>
    <t>MINIMUM</t>
  </si>
  <si>
    <t>MAXIMUM</t>
  </si>
  <si>
    <t>RANGE</t>
  </si>
  <si>
    <t>SCORE sum</t>
  </si>
  <si>
    <t>SCORE rank</t>
  </si>
  <si>
    <t>Final decision</t>
  </si>
  <si>
    <t>Minimal distance covered by variable space</t>
  </si>
  <si>
    <t>Maximall distance covered by variable space</t>
  </si>
  <si>
    <t>Range of distances covered by variable space</t>
  </si>
  <si>
    <t>Score mobilité douce</t>
  </si>
  <si>
    <t>Score distance totale</t>
  </si>
  <si>
    <t>Score TIM (1 = best, 13 = worst)</t>
  </si>
  <si>
    <t>Score pour distance TIM, MD et totale</t>
  </si>
  <si>
    <t>Hypothèse: si une plus grande intervalle de distances est couverte (par exemple: pour variable x l'effet moyen causal varie entre 3 et 15 km par jour en TIM versus pour variable y l'effet causal ressemble à une ligne droite et varie entre 8 et 9 km par jour), l'effet de cette variable sur les distances parcourues est important.</t>
  </si>
  <si>
    <t>x</t>
  </si>
  <si>
    <t>Nombre de variables à enlever:</t>
  </si>
  <si>
    <t>modifiable par l'utilisateur!</t>
  </si>
  <si>
    <t>Weight TIM enquete</t>
  </si>
  <si>
    <t>Weight MD enquete</t>
  </si>
  <si>
    <t>Weight TC enquete</t>
  </si>
  <si>
    <t>Weight TIM mod</t>
  </si>
  <si>
    <t>Weight MD mod</t>
  </si>
  <si>
    <t>Weight TC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</si>
</sst>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1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theme="1"/>
      <name val="Helvetica Neue"/>
      <family val="2"/>
    </font>
    <font>
      <i/>
      <sz val="10"/>
      <color rgb="FF000000"/>
      <name val="Helvetica Neue"/>
      <family val="2"/>
    </font>
    <font>
      <i/>
      <sz val="10"/>
      <color theme="1"/>
      <name val="Helvetica Neue"/>
      <family val="2"/>
    </font>
    <font>
      <sz val="10"/>
      <color theme="0"/>
      <name val="Helvetica Neue"/>
      <family val="2"/>
    </font>
    <font>
      <i/>
      <sz val="10"/>
      <color theme="0"/>
      <name val="Helvetica Neue"/>
      <family val="2"/>
    </font>
    <font>
      <sz val="12"/>
      <color rgb="FF000000"/>
      <name val="Calibri"/>
      <family val="2"/>
      <scheme val="minor"/>
    </font>
    <font>
      <b/>
      <i/>
      <sz val="11"/>
      <color theme="1"/>
      <name val="Helvetica Neue"/>
      <family val="2"/>
    </font>
    <font>
      <i/>
      <sz val="12"/>
      <color theme="1"/>
      <name val="Calibri"/>
      <family val="2"/>
      <scheme val="minor"/>
    </font>
    <font>
      <i/>
      <sz val="8"/>
      <color theme="1"/>
      <name val="Helvetica Neue"/>
      <family val="2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Helvetica Neue"/>
      <family val="2"/>
    </font>
    <font>
      <i/>
      <sz val="9"/>
      <color rgb="FF000000"/>
      <name val="Helvetica Neue"/>
      <family val="2"/>
    </font>
    <font>
      <b/>
      <sz val="10"/>
      <color theme="0"/>
      <name val="Helvetica Neue"/>
      <family val="2"/>
    </font>
    <font>
      <i/>
      <sz val="9"/>
      <color theme="0"/>
      <name val="Helvetica Neue"/>
      <family val="2"/>
    </font>
    <font>
      <i/>
      <sz val="9"/>
      <color theme="1"/>
      <name val="Helvetica Neue"/>
      <family val="2"/>
    </font>
    <font>
      <b/>
      <sz val="12"/>
      <color theme="0"/>
      <name val="Helvetica Neue"/>
      <family val="2"/>
    </font>
    <font>
      <i/>
      <sz val="12"/>
      <color theme="1"/>
      <name val="Helvetica Neue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1" fillId="3" borderId="2" xfId="0" applyFont="1" applyFill="1" applyBorder="1"/>
    <xf numFmtId="3" fontId="1" fillId="3" borderId="7" xfId="0" applyNumberFormat="1" applyFont="1" applyFill="1" applyBorder="1"/>
    <xf numFmtId="0" fontId="1" fillId="3" borderId="3" xfId="0" applyFont="1" applyFill="1" applyBorder="1"/>
    <xf numFmtId="3" fontId="1" fillId="3" borderId="8" xfId="0" applyNumberFormat="1" applyFont="1" applyFill="1" applyBorder="1"/>
    <xf numFmtId="164" fontId="1" fillId="3" borderId="8" xfId="0" applyNumberFormat="1" applyFont="1" applyFill="1" applyBorder="1"/>
    <xf numFmtId="4" fontId="1" fillId="3" borderId="8" xfId="0" applyNumberFormat="1" applyFont="1" applyFill="1" applyBorder="1"/>
    <xf numFmtId="0" fontId="1" fillId="3" borderId="5" xfId="0" applyFont="1" applyFill="1" applyBorder="1"/>
    <xf numFmtId="0" fontId="4" fillId="0" borderId="0" xfId="0" applyFont="1"/>
    <xf numFmtId="0" fontId="5" fillId="0" borderId="0" xfId="0" applyFont="1"/>
    <xf numFmtId="2" fontId="3" fillId="2" borderId="11" xfId="0" applyNumberFormat="1" applyFont="1" applyFill="1" applyBorder="1"/>
    <xf numFmtId="2" fontId="3" fillId="2" borderId="12" xfId="0" applyNumberFormat="1" applyFont="1" applyFill="1" applyBorder="1"/>
    <xf numFmtId="2" fontId="3" fillId="2" borderId="13" xfId="0" applyNumberFormat="1" applyFont="1" applyFill="1" applyBorder="1"/>
    <xf numFmtId="2" fontId="3" fillId="2" borderId="10" xfId="0" applyNumberFormat="1" applyFont="1" applyFill="1" applyBorder="1"/>
    <xf numFmtId="2" fontId="3" fillId="2" borderId="6" xfId="0" applyNumberFormat="1" applyFont="1" applyFill="1" applyBorder="1"/>
    <xf numFmtId="0" fontId="3" fillId="4" borderId="2" xfId="0" applyFont="1" applyFill="1" applyBorder="1" applyAlignment="1">
      <alignment wrapText="1"/>
    </xf>
    <xf numFmtId="0" fontId="3" fillId="4" borderId="17" xfId="0" applyFont="1" applyFill="1" applyBorder="1" applyAlignment="1">
      <alignment wrapText="1"/>
    </xf>
    <xf numFmtId="0" fontId="3" fillId="4" borderId="18" xfId="0" applyFont="1" applyFill="1" applyBorder="1" applyAlignment="1">
      <alignment wrapText="1"/>
    </xf>
    <xf numFmtId="2" fontId="3" fillId="4" borderId="5" xfId="0" applyNumberFormat="1" applyFont="1" applyFill="1" applyBorder="1"/>
    <xf numFmtId="2" fontId="3" fillId="4" borderId="10" xfId="0" applyNumberFormat="1" applyFont="1" applyFill="1" applyBorder="1"/>
    <xf numFmtId="2" fontId="3" fillId="4" borderId="6" xfId="0" applyNumberFormat="1" applyFont="1" applyFill="1" applyBorder="1"/>
    <xf numFmtId="0" fontId="3" fillId="5" borderId="2" xfId="0" applyFont="1" applyFill="1" applyBorder="1" applyAlignment="1">
      <alignment wrapText="1"/>
    </xf>
    <xf numFmtId="0" fontId="3" fillId="5" borderId="17" xfId="0" applyFont="1" applyFill="1" applyBorder="1" applyAlignment="1">
      <alignment wrapText="1"/>
    </xf>
    <xf numFmtId="0" fontId="3" fillId="5" borderId="18" xfId="0" applyFont="1" applyFill="1" applyBorder="1" applyAlignment="1">
      <alignment wrapText="1"/>
    </xf>
    <xf numFmtId="2" fontId="3" fillId="5" borderId="5" xfId="0" applyNumberFormat="1" applyFont="1" applyFill="1" applyBorder="1"/>
    <xf numFmtId="2" fontId="3" fillId="5" borderId="10" xfId="0" applyNumberFormat="1" applyFont="1" applyFill="1" applyBorder="1"/>
    <xf numFmtId="2" fontId="3" fillId="5" borderId="6" xfId="0" applyNumberFormat="1" applyFont="1" applyFill="1" applyBorder="1"/>
    <xf numFmtId="165" fontId="3" fillId="5" borderId="5" xfId="0" applyNumberFormat="1" applyFont="1" applyFill="1" applyBorder="1"/>
    <xf numFmtId="165" fontId="3" fillId="5" borderId="10" xfId="0" applyNumberFormat="1" applyFont="1" applyFill="1" applyBorder="1"/>
    <xf numFmtId="165" fontId="3" fillId="5" borderId="6" xfId="0" applyNumberFormat="1" applyFont="1" applyFill="1" applyBorder="1"/>
    <xf numFmtId="0" fontId="6" fillId="6" borderId="0" xfId="0" applyFont="1" applyFill="1"/>
    <xf numFmtId="2" fontId="7" fillId="6" borderId="0" xfId="0" applyNumberFormat="1" applyFont="1" applyFill="1"/>
    <xf numFmtId="0" fontId="8" fillId="0" borderId="0" xfId="0" applyFont="1"/>
    <xf numFmtId="2" fontId="5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1" fontId="3" fillId="0" borderId="1" xfId="0" applyNumberFormat="1" applyFont="1" applyBorder="1"/>
    <xf numFmtId="0" fontId="10" fillId="0" borderId="0" xfId="0" applyFont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0" fillId="0" borderId="1" xfId="0" applyBorder="1"/>
    <xf numFmtId="0" fontId="3" fillId="0" borderId="1" xfId="0" quotePrefix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0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1" fontId="3" fillId="0" borderId="0" xfId="0" applyNumberFormat="1" applyFont="1"/>
    <xf numFmtId="0" fontId="3" fillId="0" borderId="12" xfId="0" quotePrefix="1" applyFont="1" applyBorder="1"/>
    <xf numFmtId="0" fontId="3" fillId="0" borderId="12" xfId="0" applyFont="1" applyBorder="1" applyAlignment="1">
      <alignment wrapText="1"/>
    </xf>
    <xf numFmtId="0" fontId="3" fillId="0" borderId="25" xfId="0" applyFont="1" applyBorder="1"/>
    <xf numFmtId="0" fontId="3" fillId="0" borderId="8" xfId="0" applyFont="1" applyBorder="1"/>
    <xf numFmtId="0" fontId="5" fillId="2" borderId="14" xfId="0" applyFont="1" applyFill="1" applyBorder="1"/>
    <xf numFmtId="0" fontId="5" fillId="2" borderId="16" xfId="0" applyFont="1" applyFill="1" applyBorder="1"/>
    <xf numFmtId="0" fontId="10" fillId="2" borderId="11" xfId="0" applyFont="1" applyFill="1" applyBorder="1"/>
    <xf numFmtId="2" fontId="10" fillId="2" borderId="13" xfId="0" applyNumberFormat="1" applyFont="1" applyFill="1" applyBorder="1"/>
    <xf numFmtId="0" fontId="10" fillId="2" borderId="3" xfId="0" applyFont="1" applyFill="1" applyBorder="1"/>
    <xf numFmtId="2" fontId="10" fillId="2" borderId="4" xfId="0" applyNumberFormat="1" applyFont="1" applyFill="1" applyBorder="1"/>
    <xf numFmtId="0" fontId="10" fillId="2" borderId="5" xfId="0" applyFont="1" applyFill="1" applyBorder="1"/>
    <xf numFmtId="2" fontId="10" fillId="2" borderId="6" xfId="0" applyNumberFormat="1" applyFont="1" applyFill="1" applyBorder="1"/>
    <xf numFmtId="165" fontId="3" fillId="0" borderId="1" xfId="0" applyNumberFormat="1" applyFont="1" applyBorder="1"/>
    <xf numFmtId="0" fontId="3" fillId="2" borderId="24" xfId="0" applyFont="1" applyFill="1" applyBorder="1"/>
    <xf numFmtId="0" fontId="1" fillId="3" borderId="27" xfId="0" applyFont="1" applyFill="1" applyBorder="1"/>
    <xf numFmtId="0" fontId="1" fillId="3" borderId="28" xfId="0" applyFont="1" applyFill="1" applyBorder="1" applyAlignment="1">
      <alignment horizontal="right"/>
    </xf>
    <xf numFmtId="2" fontId="3" fillId="2" borderId="27" xfId="0" applyNumberFormat="1" applyFont="1" applyFill="1" applyBorder="1"/>
    <xf numFmtId="2" fontId="3" fillId="2" borderId="19" xfId="0" applyNumberFormat="1" applyFont="1" applyFill="1" applyBorder="1"/>
    <xf numFmtId="2" fontId="3" fillId="2" borderId="20" xfId="0" applyNumberFormat="1" applyFont="1" applyFill="1" applyBorder="1"/>
    <xf numFmtId="2" fontId="3" fillId="2" borderId="29" xfId="0" applyNumberFormat="1" applyFont="1" applyFill="1" applyBorder="1"/>
    <xf numFmtId="3" fontId="1" fillId="3" borderId="18" xfId="0" applyNumberFormat="1" applyFont="1" applyFill="1" applyBorder="1"/>
    <xf numFmtId="3" fontId="1" fillId="3" borderId="4" xfId="0" applyNumberFormat="1" applyFont="1" applyFill="1" applyBorder="1"/>
    <xf numFmtId="164" fontId="1" fillId="3" borderId="4" xfId="0" applyNumberFormat="1" applyFont="1" applyFill="1" applyBorder="1"/>
    <xf numFmtId="4" fontId="1" fillId="3" borderId="4" xfId="0" applyNumberFormat="1" applyFont="1" applyFill="1" applyBorder="1"/>
    <xf numFmtId="0" fontId="1" fillId="3" borderId="20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2" fontId="3" fillId="2" borderId="17" xfId="0" applyNumberFormat="1" applyFont="1" applyFill="1" applyBorder="1"/>
    <xf numFmtId="2" fontId="3" fillId="2" borderId="18" xfId="0" applyNumberFormat="1" applyFont="1" applyFill="1" applyBorder="1"/>
    <xf numFmtId="2" fontId="3" fillId="2" borderId="30" xfId="0" applyNumberFormat="1" applyFont="1" applyFill="1" applyBorder="1"/>
    <xf numFmtId="2" fontId="3" fillId="2" borderId="31" xfId="0" applyNumberFormat="1" applyFont="1" applyFill="1" applyBorder="1"/>
    <xf numFmtId="2" fontId="3" fillId="2" borderId="32" xfId="0" applyNumberFormat="1" applyFont="1" applyFill="1" applyBorder="1"/>
    <xf numFmtId="2" fontId="3" fillId="2" borderId="33" xfId="0" applyNumberFormat="1" applyFont="1" applyFill="1" applyBorder="1"/>
    <xf numFmtId="2" fontId="3" fillId="2" borderId="34" xfId="0" applyNumberFormat="1" applyFont="1" applyFill="1" applyBorder="1"/>
    <xf numFmtId="2" fontId="3" fillId="2" borderId="15" xfId="0" applyNumberFormat="1" applyFont="1" applyFill="1" applyBorder="1"/>
    <xf numFmtId="2" fontId="3" fillId="2" borderId="16" xfId="0" applyNumberFormat="1" applyFont="1" applyFill="1" applyBorder="1"/>
    <xf numFmtId="0" fontId="1" fillId="7" borderId="14" xfId="0" applyFont="1" applyFill="1" applyBorder="1"/>
    <xf numFmtId="2" fontId="3" fillId="2" borderId="35" xfId="0" applyNumberFormat="1" applyFont="1" applyFill="1" applyBorder="1"/>
    <xf numFmtId="0" fontId="1" fillId="7" borderId="16" xfId="0" applyFont="1" applyFill="1" applyBorder="1" applyAlignment="1">
      <alignment horizontal="right"/>
    </xf>
    <xf numFmtId="2" fontId="3" fillId="2" borderId="14" xfId="0" applyNumberFormat="1" applyFont="1" applyFill="1" applyBorder="1"/>
    <xf numFmtId="0" fontId="3" fillId="2" borderId="36" xfId="0" applyFont="1" applyFill="1" applyBorder="1"/>
    <xf numFmtId="0" fontId="5" fillId="0" borderId="1" xfId="0" applyFont="1" applyBorder="1"/>
    <xf numFmtId="2" fontId="3" fillId="2" borderId="37" xfId="0" applyNumberFormat="1" applyFont="1" applyFill="1" applyBorder="1"/>
    <xf numFmtId="2" fontId="3" fillId="2" borderId="7" xfId="0" applyNumberFormat="1" applyFont="1" applyFill="1" applyBorder="1"/>
    <xf numFmtId="2" fontId="12" fillId="0" borderId="1" xfId="0" applyNumberFormat="1" applyFont="1" applyBorder="1"/>
    <xf numFmtId="2" fontId="3" fillId="2" borderId="38" xfId="0" applyNumberFormat="1" applyFont="1" applyFill="1" applyBorder="1"/>
    <xf numFmtId="2" fontId="3" fillId="2" borderId="25" xfId="0" applyNumberFormat="1" applyFont="1" applyFill="1" applyBorder="1"/>
    <xf numFmtId="2" fontId="3" fillId="2" borderId="39" xfId="0" applyNumberFormat="1" applyFont="1" applyFill="1" applyBorder="1"/>
    <xf numFmtId="2" fontId="3" fillId="2" borderId="40" xfId="0" applyNumberFormat="1" applyFont="1" applyFill="1" applyBorder="1"/>
    <xf numFmtId="2" fontId="3" fillId="2" borderId="28" xfId="0" applyNumberFormat="1" applyFont="1" applyFill="1" applyBorder="1"/>
    <xf numFmtId="2" fontId="3" fillId="2" borderId="41" xfId="0" applyNumberFormat="1" applyFont="1" applyFill="1" applyBorder="1"/>
    <xf numFmtId="2" fontId="3" fillId="2" borderId="9" xfId="0" applyNumberFormat="1" applyFont="1" applyFill="1" applyBorder="1"/>
    <xf numFmtId="2" fontId="3" fillId="2" borderId="42" xfId="0" applyNumberFormat="1" applyFont="1" applyFill="1" applyBorder="1"/>
    <xf numFmtId="165" fontId="3" fillId="0" borderId="0" xfId="0" applyNumberFormat="1" applyFont="1"/>
    <xf numFmtId="3" fontId="1" fillId="8" borderId="4" xfId="0" applyNumberFormat="1" applyFont="1" applyFill="1" applyBorder="1"/>
    <xf numFmtId="11" fontId="1" fillId="0" borderId="0" xfId="0" applyNumberFormat="1" applyFont="1"/>
    <xf numFmtId="0" fontId="3" fillId="0" borderId="43" xfId="0" applyFont="1" applyBorder="1"/>
    <xf numFmtId="0" fontId="3" fillId="0" borderId="44" xfId="0" applyFont="1" applyBorder="1"/>
    <xf numFmtId="166" fontId="3" fillId="0" borderId="43" xfId="0" applyNumberFormat="1" applyFont="1" applyBorder="1"/>
    <xf numFmtId="166" fontId="3" fillId="0" borderId="0" xfId="0" applyNumberFormat="1" applyFont="1"/>
    <xf numFmtId="166" fontId="3" fillId="0" borderId="44" xfId="0" applyNumberFormat="1" applyFont="1" applyBorder="1"/>
    <xf numFmtId="0" fontId="3" fillId="0" borderId="46" xfId="0" applyFont="1" applyBorder="1"/>
    <xf numFmtId="0" fontId="3" fillId="0" borderId="47" xfId="0" applyFont="1" applyBorder="1"/>
    <xf numFmtId="0" fontId="3" fillId="0" borderId="45" xfId="0" applyFont="1" applyBorder="1"/>
    <xf numFmtId="166" fontId="3" fillId="0" borderId="25" xfId="0" applyNumberFormat="1" applyFont="1" applyBorder="1"/>
    <xf numFmtId="166" fontId="3" fillId="0" borderId="45" xfId="0" applyNumberFormat="1" applyFont="1" applyBorder="1"/>
    <xf numFmtId="166" fontId="3" fillId="0" borderId="38" xfId="0" applyNumberFormat="1" applyFont="1" applyBorder="1"/>
    <xf numFmtId="0" fontId="3" fillId="0" borderId="42" xfId="0" applyFont="1" applyBorder="1"/>
    <xf numFmtId="0" fontId="3" fillId="0" borderId="29" xfId="0" applyFont="1" applyBorder="1"/>
    <xf numFmtId="0" fontId="14" fillId="0" borderId="25" xfId="0" applyFont="1" applyBorder="1"/>
    <xf numFmtId="0" fontId="14" fillId="0" borderId="45" xfId="0" applyFont="1" applyBorder="1"/>
    <xf numFmtId="0" fontId="14" fillId="0" borderId="38" xfId="0" applyFont="1" applyBorder="1"/>
    <xf numFmtId="0" fontId="3" fillId="0" borderId="49" xfId="0" applyFont="1" applyBorder="1"/>
    <xf numFmtId="1" fontId="3" fillId="0" borderId="43" xfId="0" applyNumberFormat="1" applyFont="1" applyBorder="1"/>
    <xf numFmtId="1" fontId="3" fillId="0" borderId="44" xfId="0" applyNumberFormat="1" applyFont="1" applyBorder="1"/>
    <xf numFmtId="1" fontId="3" fillId="0" borderId="25" xfId="0" applyNumberFormat="1" applyFont="1" applyBorder="1"/>
    <xf numFmtId="1" fontId="3" fillId="0" borderId="45" xfId="0" applyNumberFormat="1" applyFont="1" applyBorder="1"/>
    <xf numFmtId="1" fontId="3" fillId="0" borderId="38" xfId="0" applyNumberFormat="1" applyFont="1" applyBorder="1"/>
    <xf numFmtId="0" fontId="13" fillId="0" borderId="0" xfId="0" applyFont="1"/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vertical="center"/>
    </xf>
    <xf numFmtId="0" fontId="19" fillId="13" borderId="46" xfId="0" applyFont="1" applyFill="1" applyBorder="1"/>
    <xf numFmtId="2" fontId="3" fillId="0" borderId="1" xfId="0" applyNumberFormat="1" applyFont="1" applyBorder="1"/>
    <xf numFmtId="1" fontId="11" fillId="0" borderId="0" xfId="0" applyNumberFormat="1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1" fillId="0" borderId="2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14" fillId="10" borderId="28" xfId="0" applyFont="1" applyFill="1" applyBorder="1" applyAlignment="1">
      <alignment horizontal="center"/>
    </xf>
    <xf numFmtId="0" fontId="14" fillId="10" borderId="26" xfId="0" applyFont="1" applyFill="1" applyBorder="1" applyAlignment="1">
      <alignment horizontal="center"/>
    </xf>
    <xf numFmtId="0" fontId="14" fillId="10" borderId="40" xfId="0" applyFont="1" applyFill="1" applyBorder="1" applyAlignment="1">
      <alignment horizontal="center"/>
    </xf>
    <xf numFmtId="0" fontId="14" fillId="9" borderId="28" xfId="0" applyFont="1" applyFill="1" applyBorder="1" applyAlignment="1">
      <alignment horizontal="center"/>
    </xf>
    <xf numFmtId="0" fontId="14" fillId="9" borderId="26" xfId="0" applyFont="1" applyFill="1" applyBorder="1" applyAlignment="1">
      <alignment horizontal="center"/>
    </xf>
    <xf numFmtId="0" fontId="14" fillId="9" borderId="40" xfId="0" applyFont="1" applyFill="1" applyBorder="1" applyAlignment="1">
      <alignment horizontal="center"/>
    </xf>
    <xf numFmtId="0" fontId="16" fillId="11" borderId="28" xfId="0" applyFont="1" applyFill="1" applyBorder="1" applyAlignment="1">
      <alignment horizontal="center"/>
    </xf>
    <xf numFmtId="0" fontId="16" fillId="11" borderId="26" xfId="0" applyFont="1" applyFill="1" applyBorder="1" applyAlignment="1">
      <alignment horizontal="center"/>
    </xf>
    <xf numFmtId="0" fontId="16" fillId="11" borderId="4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7" fillId="11" borderId="28" xfId="0" applyFont="1" applyFill="1" applyBorder="1" applyAlignment="1">
      <alignment horizontal="center"/>
    </xf>
    <xf numFmtId="0" fontId="17" fillId="11" borderId="26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Inter ExtraLight" panose="02000503000000020004" pitchFamily="2" charset="0"/>
                <a:ea typeface="Inter ExtraLight" panose="02000503000000020004" pitchFamily="2" charset="0"/>
                <a:cs typeface="+mn-cs"/>
              </a:defRPr>
            </a:pPr>
            <a:r>
              <a:rPr lang="en-GB" sz="1440" cap="all" baseline="0">
                <a:latin typeface="Arial" panose="020B0604020202020204" pitchFamily="34" charset="0"/>
                <a:cs typeface="Arial" panose="020B0604020202020204" pitchFamily="34" charset="0"/>
              </a:rPr>
              <a:t>Relation accessibilité gravitaire TIM - distance TIM </a:t>
            </a:r>
          </a:p>
          <a:p>
            <a:pPr>
              <a:defRPr/>
            </a:pPr>
            <a:r>
              <a:rPr lang="en-GB" sz="1440" cap="all" baseline="0">
                <a:latin typeface="Arial" panose="020B0604020202020204" pitchFamily="34" charset="0"/>
                <a:cs typeface="Arial" panose="020B0604020202020204" pitchFamily="34" charset="0"/>
              </a:rPr>
              <a:t>(enquêtes - corrigé pour effet du revenu)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Inter ExtraLight" panose="02000503000000020004" pitchFamily="2" charset="0"/>
              <a:ea typeface="Inter ExtraLight" panose="02000503000000020004" pitchFamily="2" charset="0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Inter ExtraLight" panose="02000503000000020004" pitchFamily="2" charset="0"/>
                    <a:ea typeface="Inter ExtraLight" panose="02000503000000020004" pitchFamily="2" charset="0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'enquêtes TIM'!$B$30:$B$32</c:f>
              <c:numCache>
                <c:formatCode>0</c:formatCode>
                <c:ptCount val="3"/>
                <c:pt idx="0">
                  <c:v>19370</c:v>
                </c:pt>
                <c:pt idx="1">
                  <c:v>25676</c:v>
                </c:pt>
                <c:pt idx="2">
                  <c:v>43803</c:v>
                </c:pt>
              </c:numCache>
            </c:numRef>
          </c:xVal>
          <c:yVal>
            <c:numRef>
              <c:f>'enquêtes TIM'!$C$30:$C$32</c:f>
              <c:numCache>
                <c:formatCode>0.00</c:formatCode>
                <c:ptCount val="3"/>
                <c:pt idx="0">
                  <c:v>12.952466009150983</c:v>
                </c:pt>
                <c:pt idx="1">
                  <c:v>11.033220621525837</c:v>
                </c:pt>
                <c:pt idx="2">
                  <c:v>5.5162271008342714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0-C44C-8311-8FD0294AC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69536"/>
        <c:axId val="409104352"/>
      </c:scatterChart>
      <c:valAx>
        <c:axId val="40976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Inter ExtraLight" panose="02000503000000020004" pitchFamily="2" charset="0"/>
                <a:ea typeface="Inter ExtraLight" panose="02000503000000020004" pitchFamily="2" charset="0"/>
                <a:cs typeface="+mn-cs"/>
              </a:defRPr>
            </a:pPr>
            <a:endParaRPr lang="en-CH"/>
          </a:p>
        </c:txPr>
        <c:crossAx val="409104352"/>
        <c:crosses val="autoZero"/>
        <c:crossBetween val="midCat"/>
      </c:valAx>
      <c:valAx>
        <c:axId val="4091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Inter ExtraLight" panose="02000503000000020004" pitchFamily="2" charset="0"/>
                <a:ea typeface="Inter ExtraLight" panose="02000503000000020004" pitchFamily="2" charset="0"/>
                <a:cs typeface="+mn-cs"/>
              </a:defRPr>
            </a:pPr>
            <a:endParaRPr lang="en-CH"/>
          </a:p>
        </c:txPr>
        <c:crossAx val="40976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Inter ExtraLight" panose="02000503000000020004" pitchFamily="2" charset="0"/>
          <a:ea typeface="Inter ExtraLight" panose="02000503000000020004" pitchFamily="2" charset="0"/>
        </a:defRPr>
      </a:pPr>
      <a:endParaRPr lang="en-CH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B1D25E-BA87-DB4E-97F4-D06A32885A2C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439" cy="6071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92833-9547-511F-F441-F74F011340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6t">
    <a:dk1>
      <a:sysClr val="windowText" lastClr="000000"/>
    </a:dk1>
    <a:lt1>
      <a:sysClr val="window" lastClr="FFFFFF"/>
    </a:lt1>
    <a:dk2>
      <a:srgbClr val="002060"/>
    </a:dk2>
    <a:lt2>
      <a:srgbClr val="EEECE1"/>
    </a:lt2>
    <a:accent1>
      <a:srgbClr val="343265"/>
    </a:accent1>
    <a:accent2>
      <a:srgbClr val="7D77B7"/>
    </a:accent2>
    <a:accent3>
      <a:srgbClr val="FFB612"/>
    </a:accent3>
    <a:accent4>
      <a:srgbClr val="660066"/>
    </a:accent4>
    <a:accent5>
      <a:srgbClr val="F5F5F5"/>
    </a:accent5>
    <a:accent6>
      <a:srgbClr val="BFBFBF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46CA-27B7-BB42-86A7-931D4E05181D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cols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3.2000000000000001E-2</v>
      </c>
      <c r="B2" s="2">
        <v>10.930820596475799</v>
      </c>
      <c r="C2" s="2">
        <v>16.9674426119755</v>
      </c>
      <c r="D2" s="2">
        <v>4.8941985809761803</v>
      </c>
      <c r="E2" s="2">
        <v>2.5000000000000001E-2</v>
      </c>
      <c r="F2" s="2">
        <v>0.91223772839974304</v>
      </c>
      <c r="G2" s="2">
        <v>1.82452705889974</v>
      </c>
      <c r="H2" s="116">
        <v>-5.1602100257645798E-5</v>
      </c>
      <c r="I2" s="2">
        <v>0.03</v>
      </c>
      <c r="J2" s="2">
        <v>18.8205604684752</v>
      </c>
      <c r="K2" s="2">
        <v>26.135490469449</v>
      </c>
      <c r="L2" s="2">
        <v>11.505630467501399</v>
      </c>
      <c r="N2">
        <f>MIN(J:J)</f>
        <v>10.4017559739702</v>
      </c>
    </row>
    <row r="3" spans="1:14" x14ac:dyDescent="0.2">
      <c r="A3" s="2">
        <v>4.1000000000000002E-2</v>
      </c>
      <c r="B3" s="2">
        <v>10.5428112460371</v>
      </c>
      <c r="C3" s="2">
        <v>15.986488748233301</v>
      </c>
      <c r="D3" s="2">
        <v>5.0991337438409001</v>
      </c>
      <c r="E3" s="2">
        <v>3.4000000000000002E-2</v>
      </c>
      <c r="F3" s="2">
        <v>0.96605713723497699</v>
      </c>
      <c r="G3" s="2">
        <v>1.8233511136326801</v>
      </c>
      <c r="H3" s="2">
        <v>0.10876316083727799</v>
      </c>
      <c r="I3" s="2">
        <v>3.9E-2</v>
      </c>
      <c r="J3" s="2">
        <v>18.301040046260098</v>
      </c>
      <c r="K3" s="2">
        <v>24.686769640506601</v>
      </c>
      <c r="L3" s="2">
        <v>11.9153104520135</v>
      </c>
      <c r="N3">
        <f>MAX(J:J)</f>
        <v>18.8205604684752</v>
      </c>
    </row>
    <row r="4" spans="1:14" x14ac:dyDescent="0.2">
      <c r="A4" s="2">
        <v>4.5999999999999999E-2</v>
      </c>
      <c r="B4" s="2">
        <v>10.3323852793468</v>
      </c>
      <c r="C4" s="2">
        <v>15.602733247422799</v>
      </c>
      <c r="D4" s="2">
        <v>5.0620373112707702</v>
      </c>
      <c r="E4" s="2">
        <v>4.2999999999999997E-2</v>
      </c>
      <c r="F4" s="2">
        <v>1.0185843922717299</v>
      </c>
      <c r="G4" s="2">
        <v>1.84958686406654</v>
      </c>
      <c r="H4" s="2">
        <v>0.18758192047693201</v>
      </c>
      <c r="I4" s="2">
        <v>4.2999999999999997E-2</v>
      </c>
      <c r="J4" s="2">
        <v>18.075451907395099</v>
      </c>
      <c r="K4" s="2">
        <v>24.356310681343299</v>
      </c>
      <c r="L4" s="2">
        <v>11.794593133446901</v>
      </c>
    </row>
    <row r="5" spans="1:14" x14ac:dyDescent="0.2">
      <c r="A5" s="2">
        <v>5.5E-2</v>
      </c>
      <c r="B5" s="2">
        <v>9.9628611497004709</v>
      </c>
      <c r="C5" s="2">
        <v>14.834657277829701</v>
      </c>
      <c r="D5" s="2">
        <v>5.0910650215712598</v>
      </c>
      <c r="E5" s="2">
        <v>4.8000000000000001E-2</v>
      </c>
      <c r="F5" s="2">
        <v>1.0472078625644199</v>
      </c>
      <c r="G5" s="2">
        <v>1.86515217657074</v>
      </c>
      <c r="H5" s="2">
        <v>0.229263548558088</v>
      </c>
      <c r="I5" s="2">
        <v>0.05</v>
      </c>
      <c r="J5" s="2">
        <v>17.688535292178202</v>
      </c>
      <c r="K5" s="2">
        <v>23.603417062232701</v>
      </c>
      <c r="L5" s="2">
        <v>11.7736535221237</v>
      </c>
    </row>
    <row r="6" spans="1:14" x14ac:dyDescent="0.2">
      <c r="A6" s="2">
        <v>6.4000000000000001E-2</v>
      </c>
      <c r="B6" s="2">
        <v>9.6052203762778401</v>
      </c>
      <c r="C6" s="2">
        <v>14.0607042867394</v>
      </c>
      <c r="D6" s="2">
        <v>5.1497364658162796</v>
      </c>
      <c r="E6" s="2">
        <v>5.2999999999999999E-2</v>
      </c>
      <c r="F6" s="2">
        <v>1.0754325199563399</v>
      </c>
      <c r="G6" s="2">
        <v>1.90542667258693</v>
      </c>
      <c r="H6" s="2">
        <v>0.24543836732573601</v>
      </c>
      <c r="I6" s="2">
        <v>5.7000000000000002E-2</v>
      </c>
      <c r="J6" s="2">
        <v>17.311625657793499</v>
      </c>
      <c r="K6" s="2">
        <v>22.940217653334098</v>
      </c>
      <c r="L6" s="2">
        <v>11.6830336622529</v>
      </c>
    </row>
    <row r="7" spans="1:14" x14ac:dyDescent="0.2">
      <c r="A7" s="2">
        <v>6.9000000000000006E-2</v>
      </c>
      <c r="B7" s="2">
        <v>9.4116658412631509</v>
      </c>
      <c r="C7" s="2">
        <v>13.638727352415501</v>
      </c>
      <c r="D7" s="2">
        <v>5.18460433011077</v>
      </c>
      <c r="E7" s="2">
        <v>6.2E-2</v>
      </c>
      <c r="F7" s="2">
        <v>1.12523189475186</v>
      </c>
      <c r="G7" s="2">
        <v>1.95012023596343</v>
      </c>
      <c r="H7" s="2">
        <v>0.30034355354029002</v>
      </c>
      <c r="I7" s="2">
        <v>6.6000000000000003E-2</v>
      </c>
      <c r="J7" s="2">
        <v>16.841731691542002</v>
      </c>
      <c r="K7" s="2">
        <v>22.039011658419501</v>
      </c>
      <c r="L7" s="2">
        <v>11.644451724664499</v>
      </c>
    </row>
    <row r="8" spans="1:14" x14ac:dyDescent="0.2">
      <c r="A8" s="2">
        <v>7.3999999999999996E-2</v>
      </c>
      <c r="B8" s="2">
        <v>9.2217790087866405</v>
      </c>
      <c r="C8" s="2">
        <v>13.313758109362</v>
      </c>
      <c r="D8" s="2">
        <v>5.1297999082112398</v>
      </c>
      <c r="E8" s="2">
        <v>6.6000000000000003E-2</v>
      </c>
      <c r="F8" s="2">
        <v>1.1469501847997401</v>
      </c>
      <c r="G8" s="2">
        <v>1.9451484431328701</v>
      </c>
      <c r="H8" s="2">
        <v>0.34875192646662201</v>
      </c>
      <c r="I8" s="2">
        <v>7.4999999999999997E-2</v>
      </c>
      <c r="J8" s="2">
        <v>16.388379877278499</v>
      </c>
      <c r="K8" s="2">
        <v>21.296978203811499</v>
      </c>
      <c r="L8" s="2">
        <v>11.4797815507454</v>
      </c>
    </row>
    <row r="9" spans="1:14" x14ac:dyDescent="0.2">
      <c r="A9" s="2">
        <v>7.8E-2</v>
      </c>
      <c r="B9" s="2">
        <v>9.0725102886329108</v>
      </c>
      <c r="C9" s="2">
        <v>13.093199339459</v>
      </c>
      <c r="D9" s="2">
        <v>5.0518212378068696</v>
      </c>
      <c r="E9" s="2">
        <v>7.1999999999999995E-2</v>
      </c>
      <c r="F9" s="2">
        <v>1.1790490443906501</v>
      </c>
      <c r="G9" s="2">
        <v>1.98123284599909</v>
      </c>
      <c r="H9" s="2">
        <v>0.37686524278221101</v>
      </c>
      <c r="I9" s="2">
        <v>0.08</v>
      </c>
      <c r="J9" s="2">
        <v>16.1436656016947</v>
      </c>
      <c r="K9" s="2">
        <v>20.962601170891801</v>
      </c>
      <c r="L9" s="2">
        <v>11.3247300324976</v>
      </c>
    </row>
    <row r="10" spans="1:14" x14ac:dyDescent="0.2">
      <c r="A10" s="2">
        <v>8.3000000000000004E-2</v>
      </c>
      <c r="B10" s="2">
        <v>8.8892253207251208</v>
      </c>
      <c r="C10" s="2">
        <v>12.7425164583421</v>
      </c>
      <c r="D10" s="2">
        <v>5.0359341831081803</v>
      </c>
      <c r="E10" s="2">
        <v>7.5999999999999998E-2</v>
      </c>
      <c r="F10" s="2">
        <v>1.20012923379731</v>
      </c>
      <c r="G10" s="2">
        <v>2.0108948865342402</v>
      </c>
      <c r="H10" s="2">
        <v>0.38936358106038599</v>
      </c>
      <c r="I10" s="2">
        <v>8.5000000000000006E-2</v>
      </c>
      <c r="J10" s="2">
        <v>15.904056928576299</v>
      </c>
      <c r="K10" s="2">
        <v>20.471866552025599</v>
      </c>
      <c r="L10" s="2">
        <v>11.336247305126999</v>
      </c>
    </row>
    <row r="11" spans="1:14" x14ac:dyDescent="0.2">
      <c r="A11" s="2">
        <v>8.7999999999999995E-2</v>
      </c>
      <c r="B11" s="2">
        <v>8.7096080553555009</v>
      </c>
      <c r="C11" s="2">
        <v>12.441784834131299</v>
      </c>
      <c r="D11" s="2">
        <v>4.9774312765796997</v>
      </c>
      <c r="E11" s="2">
        <v>0.08</v>
      </c>
      <c r="F11" s="2">
        <v>1.2209541829474799</v>
      </c>
      <c r="G11" s="2">
        <v>2.01232751076398</v>
      </c>
      <c r="H11" s="2">
        <v>0.42958085513097999</v>
      </c>
      <c r="I11" s="2">
        <v>8.8999999999999996E-2</v>
      </c>
      <c r="J11" s="2">
        <v>15.7160460238567</v>
      </c>
      <c r="K11" s="2">
        <v>20.165700968956099</v>
      </c>
      <c r="L11" s="2">
        <v>11.266391078757399</v>
      </c>
    </row>
    <row r="12" spans="1:14" x14ac:dyDescent="0.2">
      <c r="A12" s="2">
        <v>9.0999999999999998E-2</v>
      </c>
      <c r="B12" s="2">
        <v>8.6035981933520507</v>
      </c>
      <c r="C12" s="2">
        <v>12.288908979771801</v>
      </c>
      <c r="D12" s="2">
        <v>4.9182874069323104</v>
      </c>
      <c r="E12" s="2">
        <v>8.5000000000000006E-2</v>
      </c>
      <c r="F12" s="2">
        <v>1.24662643777451</v>
      </c>
      <c r="G12" s="2">
        <v>2.0388192785794401</v>
      </c>
      <c r="H12" s="2">
        <v>0.45443359696957603</v>
      </c>
      <c r="I12" s="2">
        <v>9.8000000000000004E-2</v>
      </c>
      <c r="J12" s="2">
        <v>15.304968598006599</v>
      </c>
      <c r="K12" s="2">
        <v>19.5154572479784</v>
      </c>
      <c r="L12" s="2">
        <v>11.0944799480349</v>
      </c>
    </row>
    <row r="13" spans="1:14" x14ac:dyDescent="0.2">
      <c r="A13" s="2">
        <v>9.7000000000000003E-2</v>
      </c>
      <c r="B13" s="2">
        <v>8.3955395880863808</v>
      </c>
      <c r="C13" s="2">
        <v>11.9139302429483</v>
      </c>
      <c r="D13" s="2">
        <v>4.8771489332244098</v>
      </c>
      <c r="E13" s="2">
        <v>0.09</v>
      </c>
      <c r="F13" s="2">
        <v>1.2718998797007699</v>
      </c>
      <c r="G13" s="2">
        <v>2.0837085384540499</v>
      </c>
      <c r="H13" s="2">
        <v>0.46009122094748101</v>
      </c>
      <c r="I13" s="2">
        <v>0.10299999999999999</v>
      </c>
      <c r="J13" s="2">
        <v>15.0837400937637</v>
      </c>
      <c r="K13" s="2">
        <v>19.0710409577337</v>
      </c>
      <c r="L13" s="2">
        <v>11.096439229793701</v>
      </c>
    </row>
    <row r="14" spans="1:14" x14ac:dyDescent="0.2">
      <c r="A14" s="2">
        <v>0.1</v>
      </c>
      <c r="B14" s="2">
        <v>8.2934908448241593</v>
      </c>
      <c r="C14" s="2">
        <v>11.6936812917965</v>
      </c>
      <c r="D14" s="2">
        <v>4.8933003978517799</v>
      </c>
      <c r="E14" s="2">
        <v>9.9000000000000005E-2</v>
      </c>
      <c r="F14" s="2">
        <v>1.3163870666581099</v>
      </c>
      <c r="G14" s="2">
        <v>2.0975415967631901</v>
      </c>
      <c r="H14" s="2">
        <v>0.53523253655302505</v>
      </c>
      <c r="I14" s="2">
        <v>0.108</v>
      </c>
      <c r="J14" s="2">
        <v>14.8676171919862</v>
      </c>
      <c r="K14" s="2">
        <v>18.690926290236</v>
      </c>
      <c r="L14" s="2">
        <v>11.044308093736401</v>
      </c>
    </row>
    <row r="15" spans="1:14" x14ac:dyDescent="0.2">
      <c r="A15" s="2">
        <v>0.10199999999999999</v>
      </c>
      <c r="B15" s="2">
        <v>8.2261918898236495</v>
      </c>
      <c r="C15" s="2">
        <v>11.5242034189462</v>
      </c>
      <c r="D15" s="2">
        <v>4.9281803607011199</v>
      </c>
      <c r="E15" s="2">
        <v>0.104</v>
      </c>
      <c r="F15" s="2">
        <v>1.3405438324622301</v>
      </c>
      <c r="G15" s="2">
        <v>2.1212296737853902</v>
      </c>
      <c r="H15" s="2">
        <v>0.55985799113906298</v>
      </c>
      <c r="I15" s="2">
        <v>0.112</v>
      </c>
      <c r="J15" s="2">
        <v>14.698394904339199</v>
      </c>
      <c r="K15" s="2">
        <v>18.475648149270601</v>
      </c>
      <c r="L15" s="2">
        <v>10.9211416594078</v>
      </c>
    </row>
    <row r="16" spans="1:14" x14ac:dyDescent="0.2">
      <c r="A16" s="2">
        <v>0.106</v>
      </c>
      <c r="B16" s="2">
        <v>8.0933544770409593</v>
      </c>
      <c r="C16" s="2">
        <v>11.2657241762216</v>
      </c>
      <c r="D16" s="2">
        <v>4.9209847778603004</v>
      </c>
      <c r="E16" s="2">
        <v>0.108</v>
      </c>
      <c r="F16" s="2">
        <v>1.3595820998169701</v>
      </c>
      <c r="G16" s="2">
        <v>2.1376850725005498</v>
      </c>
      <c r="H16" s="2">
        <v>0.58147912713339001</v>
      </c>
      <c r="I16" s="2">
        <v>0.11600000000000001</v>
      </c>
      <c r="J16" s="2">
        <v>14.5324402022701</v>
      </c>
      <c r="K16" s="2">
        <v>18.166115559301801</v>
      </c>
      <c r="L16" s="2">
        <v>10.8987648452385</v>
      </c>
    </row>
    <row r="17" spans="1:12" x14ac:dyDescent="0.2">
      <c r="A17" s="2">
        <v>0.11</v>
      </c>
      <c r="B17" s="2">
        <v>7.9628643938826897</v>
      </c>
      <c r="C17" s="2">
        <v>11.0863354404096</v>
      </c>
      <c r="D17" s="2">
        <v>4.8393933473558199</v>
      </c>
      <c r="E17" s="2">
        <v>0.112</v>
      </c>
      <c r="F17" s="2">
        <v>1.3783651269152299</v>
      </c>
      <c r="G17" s="2">
        <v>2.14359137120266</v>
      </c>
      <c r="H17" s="2">
        <v>0.61313888262779104</v>
      </c>
      <c r="I17" s="2">
        <v>0.121</v>
      </c>
      <c r="J17" s="2">
        <v>14.3295918669026</v>
      </c>
      <c r="K17" s="2">
        <v>17.814321449908299</v>
      </c>
      <c r="L17" s="2">
        <v>10.844862283896999</v>
      </c>
    </row>
    <row r="18" spans="1:12" x14ac:dyDescent="0.2">
      <c r="A18" s="2">
        <v>0.115</v>
      </c>
      <c r="B18" s="2">
        <v>7.8030527222192196</v>
      </c>
      <c r="C18" s="2">
        <v>10.7610015354451</v>
      </c>
      <c r="D18" s="2">
        <v>4.8451039089933001</v>
      </c>
      <c r="E18" s="2">
        <v>0.11799999999999999</v>
      </c>
      <c r="F18" s="2">
        <v>1.4060610920816901</v>
      </c>
      <c r="G18" s="2">
        <v>2.1512066587974998</v>
      </c>
      <c r="H18" s="2">
        <v>0.66091552536588305</v>
      </c>
      <c r="I18" s="2">
        <v>0.126</v>
      </c>
      <c r="J18" s="2">
        <v>14.1318491340005</v>
      </c>
      <c r="K18" s="2">
        <v>17.570189458316399</v>
      </c>
      <c r="L18" s="2">
        <v>10.6935088096846</v>
      </c>
    </row>
    <row r="19" spans="1:12" x14ac:dyDescent="0.2">
      <c r="A19" s="2">
        <v>0.12</v>
      </c>
      <c r="B19" s="2">
        <v>7.6469087530939204</v>
      </c>
      <c r="C19" s="2">
        <v>10.5160015401847</v>
      </c>
      <c r="D19" s="2">
        <v>4.7778159660031703</v>
      </c>
      <c r="E19" s="2">
        <v>0.121</v>
      </c>
      <c r="F19" s="2">
        <v>1.4196937156985101</v>
      </c>
      <c r="G19" s="2">
        <v>2.1698717493658899</v>
      </c>
      <c r="H19" s="2">
        <v>0.66951568203112999</v>
      </c>
      <c r="I19" s="2">
        <v>0.13</v>
      </c>
      <c r="J19" s="2">
        <v>13.9773309814539</v>
      </c>
      <c r="K19" s="2">
        <v>17.332787516851798</v>
      </c>
      <c r="L19" s="2">
        <v>10.621874446055999</v>
      </c>
    </row>
    <row r="20" spans="1:12" x14ac:dyDescent="0.2">
      <c r="A20" s="2">
        <v>0.124</v>
      </c>
      <c r="B20" s="2">
        <v>7.5246343236211697</v>
      </c>
      <c r="C20" s="2">
        <v>10.3185778484191</v>
      </c>
      <c r="D20" s="2">
        <v>4.7306907988232698</v>
      </c>
      <c r="E20" s="2">
        <v>0.122</v>
      </c>
      <c r="F20" s="2">
        <v>1.42420601853872</v>
      </c>
      <c r="G20" s="2">
        <v>2.17605704580909</v>
      </c>
      <c r="H20" s="2">
        <v>0.67235499126836096</v>
      </c>
      <c r="I20" s="2">
        <v>0.13500000000000001</v>
      </c>
      <c r="J20" s="2">
        <v>13.7887783329895</v>
      </c>
      <c r="K20" s="2">
        <v>17.10382960622</v>
      </c>
      <c r="L20" s="2">
        <v>10.473727059759</v>
      </c>
    </row>
    <row r="21" spans="1:12" x14ac:dyDescent="0.2">
      <c r="A21" s="2">
        <v>0.129</v>
      </c>
      <c r="B21" s="2">
        <v>7.3750922190645802</v>
      </c>
      <c r="C21" s="2">
        <v>10.0533987871734</v>
      </c>
      <c r="D21" s="2">
        <v>4.6967856509557198</v>
      </c>
      <c r="E21" s="2">
        <v>0.126</v>
      </c>
      <c r="F21" s="2">
        <v>1.44209570473927</v>
      </c>
      <c r="G21" s="2">
        <v>2.1902255373969202</v>
      </c>
      <c r="H21" s="2">
        <v>0.69396587208160898</v>
      </c>
      <c r="I21" s="2">
        <v>0.14299999999999999</v>
      </c>
      <c r="J21" s="2">
        <v>13.497713748574499</v>
      </c>
      <c r="K21" s="2">
        <v>16.800798761742801</v>
      </c>
      <c r="L21" s="2">
        <v>10.1946287354062</v>
      </c>
    </row>
    <row r="22" spans="1:12" x14ac:dyDescent="0.2">
      <c r="A22" s="2">
        <v>0.13400000000000001</v>
      </c>
      <c r="B22" s="2">
        <v>7.2292178170461803</v>
      </c>
      <c r="C22" s="2">
        <v>9.8300959790538993</v>
      </c>
      <c r="D22" s="2">
        <v>4.6283396550384603</v>
      </c>
      <c r="E22" s="2">
        <v>0.13200000000000001</v>
      </c>
      <c r="F22" s="2">
        <v>1.46845165855916</v>
      </c>
      <c r="G22" s="2">
        <v>2.2263821860040398</v>
      </c>
      <c r="H22" s="2">
        <v>0.71052113111428306</v>
      </c>
      <c r="I22" s="2">
        <v>0.14399999999999999</v>
      </c>
      <c r="J22" s="2">
        <v>13.4622496839664</v>
      </c>
      <c r="K22" s="2">
        <v>16.804885353469398</v>
      </c>
      <c r="L22" s="2">
        <v>10.1196140144634</v>
      </c>
    </row>
    <row r="23" spans="1:12" x14ac:dyDescent="0.2">
      <c r="A23" s="2">
        <v>0.13800000000000001</v>
      </c>
      <c r="B23" s="2">
        <v>7.1151590412589396</v>
      </c>
      <c r="C23" s="2">
        <v>9.6830413312688108</v>
      </c>
      <c r="D23" s="2">
        <v>4.5472767512490604</v>
      </c>
      <c r="E23" s="2">
        <v>0.13600000000000001</v>
      </c>
      <c r="F23" s="2">
        <v>1.4857032441184801</v>
      </c>
      <c r="G23" s="2">
        <v>2.25012323008501</v>
      </c>
      <c r="H23" s="2">
        <v>0.72128325815195604</v>
      </c>
      <c r="I23" s="2">
        <v>0.14899999999999999</v>
      </c>
      <c r="J23" s="2">
        <v>13.2879927224051</v>
      </c>
      <c r="K23" s="2">
        <v>16.597597696369402</v>
      </c>
      <c r="L23" s="2">
        <v>9.9783877484408201</v>
      </c>
    </row>
    <row r="24" spans="1:12" x14ac:dyDescent="0.2">
      <c r="A24" s="2">
        <v>0.14299999999999999</v>
      </c>
      <c r="B24" s="2">
        <v>6.9758865038092503</v>
      </c>
      <c r="C24" s="2">
        <v>9.5696489667120304</v>
      </c>
      <c r="D24" s="2">
        <v>4.3821240409064703</v>
      </c>
      <c r="E24" s="2">
        <v>0.14000000000000001</v>
      </c>
      <c r="F24" s="2">
        <v>1.50269958942131</v>
      </c>
      <c r="G24" s="2">
        <v>2.2842801464803602</v>
      </c>
      <c r="H24" s="2">
        <v>0.72111903236226205</v>
      </c>
      <c r="I24" s="2">
        <v>0.154</v>
      </c>
      <c r="J24" s="2">
        <v>13.118841363309199</v>
      </c>
      <c r="K24" s="2">
        <v>16.307361148823901</v>
      </c>
      <c r="L24" s="2">
        <v>9.9303215777945493</v>
      </c>
    </row>
    <row r="25" spans="1:12" x14ac:dyDescent="0.2">
      <c r="A25" s="2">
        <v>0.152</v>
      </c>
      <c r="B25" s="2">
        <v>6.7344385467960102</v>
      </c>
      <c r="C25" s="2">
        <v>9.2312133566203904</v>
      </c>
      <c r="D25" s="2">
        <v>4.2376637369716201</v>
      </c>
      <c r="E25" s="2">
        <v>0.14599999999999999</v>
      </c>
      <c r="F25" s="2">
        <v>1.52771553189464</v>
      </c>
      <c r="G25" s="2">
        <v>2.3082039811541901</v>
      </c>
      <c r="H25" s="2">
        <v>0.74722708263508597</v>
      </c>
      <c r="I25" s="2">
        <v>0.16200000000000001</v>
      </c>
      <c r="J25" s="2">
        <v>12.858818841883799</v>
      </c>
      <c r="K25" s="2">
        <v>15.961883760215899</v>
      </c>
      <c r="L25" s="2">
        <v>9.7557539235517208</v>
      </c>
    </row>
    <row r="26" spans="1:12" x14ac:dyDescent="0.2">
      <c r="A26" s="2">
        <v>0.156</v>
      </c>
      <c r="B26" s="2">
        <v>6.6309427543187098</v>
      </c>
      <c r="C26" s="2">
        <v>9.1329665877698396</v>
      </c>
      <c r="D26" s="2">
        <v>4.1289189208675801</v>
      </c>
      <c r="E26" s="2">
        <v>0.15</v>
      </c>
      <c r="F26" s="2">
        <v>1.54407377655624</v>
      </c>
      <c r="G26" s="2">
        <v>2.3309275379285701</v>
      </c>
      <c r="H26" s="2">
        <v>0.75722001518391802</v>
      </c>
      <c r="I26" s="2">
        <v>0.16700000000000001</v>
      </c>
      <c r="J26" s="2">
        <v>12.702942049198001</v>
      </c>
      <c r="K26" s="2">
        <v>15.650865002823799</v>
      </c>
      <c r="L26" s="2">
        <v>9.7550190955720808</v>
      </c>
    </row>
    <row r="27" spans="1:12" x14ac:dyDescent="0.2">
      <c r="A27" s="2">
        <v>0.161</v>
      </c>
      <c r="B27" s="2">
        <v>6.50487394600645</v>
      </c>
      <c r="C27" s="2">
        <v>8.9762925657046804</v>
      </c>
      <c r="D27" s="2">
        <v>4.0334553263082196</v>
      </c>
      <c r="E27" s="2">
        <v>0.154</v>
      </c>
      <c r="F27" s="2">
        <v>1.56017678096136</v>
      </c>
      <c r="G27" s="2">
        <v>2.3753932619073299</v>
      </c>
      <c r="H27" s="2">
        <v>0.74496030001539004</v>
      </c>
      <c r="I27" s="2">
        <v>0.17199999999999999</v>
      </c>
      <c r="J27" s="2">
        <v>12.552170858977499</v>
      </c>
      <c r="K27" s="2">
        <v>15.3938572473002</v>
      </c>
      <c r="L27" s="2">
        <v>9.7104844706547695</v>
      </c>
    </row>
    <row r="28" spans="1:12" x14ac:dyDescent="0.2">
      <c r="A28" s="2">
        <v>0.16600000000000001</v>
      </c>
      <c r="B28" s="2">
        <v>6.3824728402323698</v>
      </c>
      <c r="C28" s="2">
        <v>8.7037149818653496</v>
      </c>
      <c r="D28" s="2">
        <v>4.06123069859939</v>
      </c>
      <c r="E28" s="2">
        <v>0.16400000000000001</v>
      </c>
      <c r="F28" s="2">
        <v>1.5993176158520099</v>
      </c>
      <c r="G28" s="2">
        <v>2.4081706401990899</v>
      </c>
      <c r="H28" s="2">
        <v>0.79046459150493797</v>
      </c>
      <c r="I28" s="2">
        <v>0.17599999999999999</v>
      </c>
      <c r="J28" s="2">
        <v>12.4352299405762</v>
      </c>
      <c r="K28" s="2">
        <v>15.2653413618615</v>
      </c>
      <c r="L28" s="2">
        <v>9.6051185192909507</v>
      </c>
    </row>
    <row r="29" spans="1:12" x14ac:dyDescent="0.2">
      <c r="A29" s="2">
        <v>0.17</v>
      </c>
      <c r="B29" s="2">
        <v>6.2871927014405902</v>
      </c>
      <c r="C29" s="2">
        <v>8.4980703904969399</v>
      </c>
      <c r="D29" s="2">
        <v>4.0763150123842298</v>
      </c>
      <c r="E29" s="2">
        <v>0.16800000000000001</v>
      </c>
      <c r="F29" s="2">
        <v>1.6145272793594201</v>
      </c>
      <c r="G29" s="2">
        <v>2.3843049590273901</v>
      </c>
      <c r="H29" s="2">
        <v>0.84474959969144303</v>
      </c>
      <c r="I29" s="2">
        <v>0.18</v>
      </c>
      <c r="J29" s="2">
        <v>12.3215566077528</v>
      </c>
      <c r="K29" s="2">
        <v>15.1858926470344</v>
      </c>
      <c r="L29" s="2">
        <v>9.4572205684712003</v>
      </c>
    </row>
    <row r="30" spans="1:12" x14ac:dyDescent="0.2">
      <c r="A30" s="2">
        <v>0.17499999999999999</v>
      </c>
      <c r="B30" s="2">
        <v>6.1713934602352198</v>
      </c>
      <c r="C30" s="2">
        <v>8.3309908854702996</v>
      </c>
      <c r="D30" s="2">
        <v>4.01179603500014</v>
      </c>
      <c r="E30" s="2">
        <v>0.17</v>
      </c>
      <c r="F30" s="2">
        <v>1.6220363960169299</v>
      </c>
      <c r="G30" s="2">
        <v>2.3833688101166199</v>
      </c>
      <c r="H30" s="2">
        <v>0.86070398191724296</v>
      </c>
      <c r="I30" s="2">
        <v>0.19</v>
      </c>
      <c r="J30" s="2">
        <v>12.051668962597301</v>
      </c>
      <c r="K30" s="2">
        <v>15.073917953631399</v>
      </c>
      <c r="L30" s="2">
        <v>9.0294199715632502</v>
      </c>
    </row>
    <row r="31" spans="1:12" x14ac:dyDescent="0.2">
      <c r="A31" s="2">
        <v>0.18</v>
      </c>
      <c r="B31" s="2">
        <v>6.0592619215680301</v>
      </c>
      <c r="C31" s="2">
        <v>8.2299398297823494</v>
      </c>
      <c r="D31" s="2">
        <v>3.8885840133537002</v>
      </c>
      <c r="E31" s="2">
        <v>0.17299999999999999</v>
      </c>
      <c r="F31" s="2">
        <v>1.63318042713298</v>
      </c>
      <c r="G31" s="2">
        <v>2.3988098607572401</v>
      </c>
      <c r="H31" s="2">
        <v>0.867550993508728</v>
      </c>
      <c r="I31" s="2">
        <v>0.19400000000000001</v>
      </c>
      <c r="J31" s="2">
        <v>11.9494321792964</v>
      </c>
      <c r="K31" s="2">
        <v>15.09883415094</v>
      </c>
      <c r="L31" s="2">
        <v>8.8000302076527195</v>
      </c>
    </row>
    <row r="32" spans="1:12" x14ac:dyDescent="0.2">
      <c r="A32" s="2">
        <v>0.184</v>
      </c>
      <c r="B32" s="2">
        <v>5.9721974364617596</v>
      </c>
      <c r="C32" s="2">
        <v>8.1294519933040998</v>
      </c>
      <c r="D32" s="2">
        <v>3.8149428796194198</v>
      </c>
      <c r="E32" s="2">
        <v>0.17799999999999999</v>
      </c>
      <c r="F32" s="2">
        <v>1.6514347620057801</v>
      </c>
      <c r="G32" s="2">
        <v>2.4241846358624701</v>
      </c>
      <c r="H32" s="2">
        <v>0.87868488814909596</v>
      </c>
      <c r="I32" s="2">
        <v>0.19900000000000001</v>
      </c>
      <c r="J32" s="2">
        <v>11.826231242389101</v>
      </c>
      <c r="K32" s="2">
        <v>14.973063242389101</v>
      </c>
      <c r="L32" s="2">
        <v>8.67939924238906</v>
      </c>
    </row>
    <row r="33" spans="1:12" x14ac:dyDescent="0.2">
      <c r="A33" s="2">
        <v>0.19400000000000001</v>
      </c>
      <c r="B33" s="2">
        <v>5.7648057908029804</v>
      </c>
      <c r="C33" s="2">
        <v>8.09942231773387</v>
      </c>
      <c r="D33" s="2">
        <v>3.4301892638720899</v>
      </c>
      <c r="E33" s="2">
        <v>0.182</v>
      </c>
      <c r="F33" s="2">
        <v>1.6657510846154699</v>
      </c>
      <c r="G33" s="2">
        <v>2.4557782237441099</v>
      </c>
      <c r="H33" s="2">
        <v>0.87572394548683596</v>
      </c>
      <c r="I33" s="2">
        <v>0.20599999999999999</v>
      </c>
      <c r="J33" s="2">
        <v>11.662327342860699</v>
      </c>
      <c r="K33" s="2">
        <v>14.6794974741192</v>
      </c>
      <c r="L33" s="2">
        <v>8.6451572116021502</v>
      </c>
    </row>
    <row r="34" spans="1:12" x14ac:dyDescent="0.2">
      <c r="A34" s="2">
        <v>0.19800000000000001</v>
      </c>
      <c r="B34" s="2">
        <v>5.6859569593822297</v>
      </c>
      <c r="C34" s="2">
        <v>7.9826139560833997</v>
      </c>
      <c r="D34" s="2">
        <v>3.3892999626810498</v>
      </c>
      <c r="E34" s="2">
        <v>0.187</v>
      </c>
      <c r="F34" s="2">
        <v>1.6832875562669001</v>
      </c>
      <c r="G34" s="2">
        <v>2.52733893591222</v>
      </c>
      <c r="H34" s="2">
        <v>0.83923617662158201</v>
      </c>
      <c r="I34" s="2">
        <v>0.21299999999999999</v>
      </c>
      <c r="J34" s="2">
        <v>11.5084304241645</v>
      </c>
      <c r="K34" s="2">
        <v>14.4889470984239</v>
      </c>
      <c r="L34" s="2">
        <v>8.5279137499051192</v>
      </c>
    </row>
    <row r="35" spans="1:12" x14ac:dyDescent="0.2">
      <c r="A35" s="2">
        <v>0.20200000000000001</v>
      </c>
      <c r="B35" s="2">
        <v>5.6094554575859004</v>
      </c>
      <c r="C35" s="2">
        <v>7.8410158284326696</v>
      </c>
      <c r="D35" s="2">
        <v>3.3778950867391302</v>
      </c>
      <c r="E35" s="2">
        <v>0.19600000000000001</v>
      </c>
      <c r="F35" s="2">
        <v>1.71384819672954</v>
      </c>
      <c r="G35" s="2">
        <v>2.60708300452854</v>
      </c>
      <c r="H35" s="2">
        <v>0.82061338893054403</v>
      </c>
      <c r="I35" s="2">
        <v>0.218</v>
      </c>
      <c r="J35" s="2">
        <v>11.4046307766257</v>
      </c>
      <c r="K35" s="2">
        <v>14.393652270797199</v>
      </c>
      <c r="L35" s="2">
        <v>8.4156092824540902</v>
      </c>
    </row>
    <row r="36" spans="1:12" x14ac:dyDescent="0.2">
      <c r="A36" s="2">
        <v>0.20699999999999999</v>
      </c>
      <c r="B36" s="2">
        <v>5.5171295126248596</v>
      </c>
      <c r="C36" s="2">
        <v>7.7422498283885997</v>
      </c>
      <c r="D36" s="2">
        <v>3.2920091968611098</v>
      </c>
      <c r="E36" s="2">
        <v>0.2</v>
      </c>
      <c r="F36" s="2">
        <v>1.7270159381850301</v>
      </c>
      <c r="G36" s="2">
        <v>2.6024353322471598</v>
      </c>
      <c r="H36" s="2">
        <v>0.85159654412290298</v>
      </c>
      <c r="I36" s="2">
        <v>0.222</v>
      </c>
      <c r="J36" s="2">
        <v>11.3252670923697</v>
      </c>
      <c r="K36" s="2">
        <v>14.323163771695899</v>
      </c>
      <c r="L36" s="2">
        <v>8.3273704130435</v>
      </c>
    </row>
    <row r="37" spans="1:12" x14ac:dyDescent="0.2">
      <c r="A37" s="2">
        <v>0.21199999999999999</v>
      </c>
      <c r="B37" s="2">
        <v>5.4284712702019897</v>
      </c>
      <c r="C37" s="2">
        <v>7.6496534290516403</v>
      </c>
      <c r="D37" s="2">
        <v>3.2072891113523401</v>
      </c>
      <c r="E37" s="2">
        <v>0.20100000000000001</v>
      </c>
      <c r="F37" s="2">
        <v>1.73026799225882</v>
      </c>
      <c r="G37" s="2">
        <v>2.59517028059682</v>
      </c>
      <c r="H37" s="2">
        <v>0.86536570392082401</v>
      </c>
      <c r="I37" s="2">
        <v>0.23599999999999999</v>
      </c>
      <c r="J37" s="2">
        <v>11.0732264338994</v>
      </c>
      <c r="K37" s="2">
        <v>14.4299828294231</v>
      </c>
      <c r="L37" s="2">
        <v>7.7164700383757703</v>
      </c>
    </row>
    <row r="38" spans="1:12" x14ac:dyDescent="0.2">
      <c r="A38" s="2">
        <v>0.216</v>
      </c>
      <c r="B38" s="2">
        <v>5.3601854220911802</v>
      </c>
      <c r="C38" s="2">
        <v>7.5223604220911797</v>
      </c>
      <c r="D38" s="2">
        <v>3.1980104220911798</v>
      </c>
      <c r="E38" s="2">
        <v>0.21</v>
      </c>
      <c r="F38" s="2">
        <v>1.7588186157016099</v>
      </c>
      <c r="G38" s="2">
        <v>2.64909112427747</v>
      </c>
      <c r="H38" s="2">
        <v>0.86854610712574698</v>
      </c>
      <c r="I38" s="2">
        <v>0.245</v>
      </c>
      <c r="J38" s="2">
        <v>10.932337490518099</v>
      </c>
      <c r="K38" s="2">
        <v>14.515985937936399</v>
      </c>
      <c r="L38" s="2">
        <v>7.3486890430998599</v>
      </c>
    </row>
    <row r="39" spans="1:12" x14ac:dyDescent="0.2">
      <c r="A39" s="2">
        <v>0.221</v>
      </c>
      <c r="B39" s="2">
        <v>5.2781290442370201</v>
      </c>
      <c r="C39" s="2">
        <v>7.46969096299076</v>
      </c>
      <c r="D39" s="2">
        <v>3.0865671254832798</v>
      </c>
      <c r="E39" s="2">
        <v>0.214</v>
      </c>
      <c r="F39" s="2">
        <v>1.7710930162593901</v>
      </c>
      <c r="G39" s="2">
        <v>2.6426917580742502</v>
      </c>
      <c r="H39" s="2">
        <v>0.89949427444452501</v>
      </c>
      <c r="I39" s="2">
        <v>0.25</v>
      </c>
      <c r="J39" s="2">
        <v>10.861213698757901</v>
      </c>
      <c r="K39" s="2">
        <v>14.476132943004099</v>
      </c>
      <c r="L39" s="2">
        <v>7.2462944545116201</v>
      </c>
    </row>
    <row r="40" spans="1:12" x14ac:dyDescent="0.2">
      <c r="A40" s="2">
        <v>0.22600000000000001</v>
      </c>
      <c r="B40" s="2">
        <v>5.1997403689210397</v>
      </c>
      <c r="C40" s="2">
        <v>7.4520819609264004</v>
      </c>
      <c r="D40" s="2">
        <v>2.9473987769156902</v>
      </c>
      <c r="E40" s="2">
        <v>0.22</v>
      </c>
      <c r="F40" s="2">
        <v>1.78902604161513</v>
      </c>
      <c r="G40" s="2">
        <v>2.6815309935506799</v>
      </c>
      <c r="H40" s="2">
        <v>0.89652108967958899</v>
      </c>
      <c r="I40" s="2">
        <v>0.254</v>
      </c>
      <c r="J40" s="2">
        <v>10.8079906991247</v>
      </c>
      <c r="K40" s="2">
        <v>14.358121781087</v>
      </c>
      <c r="L40" s="2">
        <v>7.2578596171624898</v>
      </c>
    </row>
    <row r="41" spans="1:12" x14ac:dyDescent="0.2">
      <c r="A41" s="2">
        <v>0.23</v>
      </c>
      <c r="B41" s="2">
        <v>5.13967017449575</v>
      </c>
      <c r="C41" s="2">
        <v>7.4541849909088702</v>
      </c>
      <c r="D41" s="2">
        <v>2.8251553580826299</v>
      </c>
      <c r="E41" s="2">
        <v>0.224</v>
      </c>
      <c r="F41" s="2">
        <v>1.80066234153168</v>
      </c>
      <c r="G41" s="2">
        <v>2.7363019890331701</v>
      </c>
      <c r="H41" s="2">
        <v>0.86502269403020404</v>
      </c>
      <c r="I41" s="2">
        <v>0.26300000000000001</v>
      </c>
      <c r="J41" s="2">
        <v>10.700186059719201</v>
      </c>
      <c r="K41" s="2">
        <v>14.318079694204901</v>
      </c>
      <c r="L41" s="2">
        <v>7.0822924252335504</v>
      </c>
    </row>
    <row r="42" spans="1:12" x14ac:dyDescent="0.2">
      <c r="A42" s="2">
        <v>0.23400000000000001</v>
      </c>
      <c r="B42" s="2">
        <v>5.08194730969488</v>
      </c>
      <c r="C42" s="2">
        <v>7.4025466018242296</v>
      </c>
      <c r="D42" s="2">
        <v>2.76134801756554</v>
      </c>
      <c r="E42" s="2">
        <v>0.22800000000000001</v>
      </c>
      <c r="F42" s="2">
        <v>1.8120434011917499</v>
      </c>
      <c r="G42" s="2">
        <v>2.7787010812832298</v>
      </c>
      <c r="H42" s="2">
        <v>0.845385721100262</v>
      </c>
      <c r="I42" s="2">
        <v>0.26800000000000002</v>
      </c>
      <c r="J42" s="2">
        <v>10.6474424368344</v>
      </c>
      <c r="K42" s="2">
        <v>14.3075425811051</v>
      </c>
      <c r="L42" s="2">
        <v>6.9873422925636302</v>
      </c>
    </row>
    <row r="43" spans="1:12" x14ac:dyDescent="0.2">
      <c r="A43" s="2">
        <v>0.24</v>
      </c>
      <c r="B43" s="2">
        <v>4.9997642555394002</v>
      </c>
      <c r="C43" s="2">
        <v>7.4200912079845702</v>
      </c>
      <c r="D43" s="2">
        <v>2.5794373030942301</v>
      </c>
      <c r="E43" s="2">
        <v>0.23799999999999999</v>
      </c>
      <c r="F43" s="2">
        <v>1.8393793742197599</v>
      </c>
      <c r="G43" s="2">
        <v>2.84653788345519</v>
      </c>
      <c r="H43" s="2">
        <v>0.83222086498433601</v>
      </c>
      <c r="I43" s="2">
        <v>0.28199999999999997</v>
      </c>
      <c r="J43" s="2">
        <v>10.526922097872699</v>
      </c>
      <c r="K43" s="2">
        <v>14.815467141033</v>
      </c>
      <c r="L43" s="2">
        <v>6.2383770547124104</v>
      </c>
    </row>
    <row r="44" spans="1:12" x14ac:dyDescent="0.2">
      <c r="A44" s="2">
        <v>0.24399999999999999</v>
      </c>
      <c r="B44" s="2">
        <v>4.9479097147996098</v>
      </c>
      <c r="C44" s="2">
        <v>7.5253073185020796</v>
      </c>
      <c r="D44" s="2">
        <v>2.3705121110971499</v>
      </c>
      <c r="E44" s="2">
        <v>0.247</v>
      </c>
      <c r="F44" s="2">
        <v>1.86261780982436</v>
      </c>
      <c r="G44" s="2">
        <v>2.9221866120999902</v>
      </c>
      <c r="H44" s="2">
        <v>0.80304900754874298</v>
      </c>
      <c r="I44" s="2">
        <v>0.28999999999999998</v>
      </c>
      <c r="J44" s="2">
        <v>10.47602505343</v>
      </c>
      <c r="K44" s="2">
        <v>14.7136713847395</v>
      </c>
      <c r="L44" s="2">
        <v>6.2383787221204399</v>
      </c>
    </row>
    <row r="45" spans="1:12" x14ac:dyDescent="0.2">
      <c r="A45" s="2">
        <v>0.248</v>
      </c>
      <c r="B45" s="2">
        <v>4.8984025036842596</v>
      </c>
      <c r="C45" s="2">
        <v>7.4888978899870304</v>
      </c>
      <c r="D45" s="2">
        <v>2.30790711738149</v>
      </c>
      <c r="E45" s="2">
        <v>0.26100000000000001</v>
      </c>
      <c r="F45" s="2">
        <v>1.8961981323506001</v>
      </c>
      <c r="G45" s="2">
        <v>3.0301341798880199</v>
      </c>
      <c r="H45" s="2">
        <v>0.76226208481317204</v>
      </c>
      <c r="I45" s="2">
        <v>0.29599999999999999</v>
      </c>
      <c r="J45" s="2">
        <v>10.446429682239801</v>
      </c>
      <c r="K45" s="2">
        <v>14.7113977715105</v>
      </c>
      <c r="L45" s="2">
        <v>6.1814615929690202</v>
      </c>
    </row>
    <row r="46" spans="1:12" x14ac:dyDescent="0.2">
      <c r="A46" s="2">
        <v>0.253</v>
      </c>
      <c r="B46" s="2">
        <v>4.8398194220744299</v>
      </c>
      <c r="C46" s="2">
        <v>7.4196076790158001</v>
      </c>
      <c r="D46" s="2">
        <v>2.2600311651330598</v>
      </c>
      <c r="E46" s="2">
        <v>0.26600000000000001</v>
      </c>
      <c r="F46" s="2">
        <v>1.90743336016994</v>
      </c>
      <c r="G46" s="2">
        <v>3.0227879123000698</v>
      </c>
      <c r="H46" s="2">
        <v>0.79207880803981401</v>
      </c>
      <c r="I46" s="2">
        <v>0.3</v>
      </c>
      <c r="J46" s="2">
        <v>10.430783916752</v>
      </c>
      <c r="K46" s="2">
        <v>14.6337066223146</v>
      </c>
      <c r="L46" s="2">
        <v>6.2278612111893201</v>
      </c>
    </row>
    <row r="47" spans="1:12" x14ac:dyDescent="0.2">
      <c r="A47" s="2">
        <v>0.26200000000000001</v>
      </c>
      <c r="B47" s="2">
        <v>4.7436124855729398</v>
      </c>
      <c r="C47" s="2">
        <v>7.3642389017155097</v>
      </c>
      <c r="D47" s="2">
        <v>2.1229860694303602</v>
      </c>
      <c r="E47" s="2">
        <v>0.27</v>
      </c>
      <c r="F47" s="2">
        <v>1.9161343971368601</v>
      </c>
      <c r="G47" s="2">
        <v>3.0243220244823799</v>
      </c>
      <c r="H47" s="2">
        <v>0.80794676979134605</v>
      </c>
      <c r="I47" s="2">
        <v>0.30399999999999999</v>
      </c>
      <c r="J47" s="2">
        <v>10.418405736842001</v>
      </c>
      <c r="K47" s="2">
        <v>14.594325903651001</v>
      </c>
      <c r="L47" s="2">
        <v>6.2424855700329802</v>
      </c>
    </row>
    <row r="48" spans="1:12" x14ac:dyDescent="0.2">
      <c r="A48" s="2">
        <v>0.26700000000000002</v>
      </c>
      <c r="B48" s="2">
        <v>4.6952989710699899</v>
      </c>
      <c r="C48" s="2">
        <v>7.3121423896047002</v>
      </c>
      <c r="D48" s="2">
        <v>2.0784555525352899</v>
      </c>
      <c r="E48" s="2">
        <v>0.28399999999999997</v>
      </c>
      <c r="F48" s="2">
        <v>1.9445780095012499</v>
      </c>
      <c r="G48" s="2">
        <v>3.1282544049294598</v>
      </c>
      <c r="H48" s="2">
        <v>0.76090161407302903</v>
      </c>
      <c r="I48" s="2">
        <v>0.309</v>
      </c>
      <c r="J48" s="2">
        <v>10.407528054173399</v>
      </c>
      <c r="K48" s="2">
        <v>14.752480627641299</v>
      </c>
      <c r="L48" s="2">
        <v>6.0625754807055401</v>
      </c>
    </row>
    <row r="49" spans="1:12" x14ac:dyDescent="0.2">
      <c r="A49" s="2">
        <v>0.27200000000000002</v>
      </c>
      <c r="B49" s="2">
        <v>4.6506531591052296</v>
      </c>
      <c r="C49" s="2">
        <v>7.2966300505713901</v>
      </c>
      <c r="D49" s="2">
        <v>2.0046762676390699</v>
      </c>
      <c r="E49" s="2">
        <v>0.28799999999999998</v>
      </c>
      <c r="F49" s="2">
        <v>1.9521304653139699</v>
      </c>
      <c r="G49" s="2">
        <v>3.1283427204518</v>
      </c>
      <c r="H49" s="2">
        <v>0.77591821017613805</v>
      </c>
      <c r="I49" s="2">
        <v>0.314</v>
      </c>
      <c r="J49" s="2">
        <v>10.4017559739702</v>
      </c>
      <c r="K49" s="2">
        <v>14.963491982039701</v>
      </c>
      <c r="L49" s="2">
        <v>5.8400199659007104</v>
      </c>
    </row>
    <row r="50" spans="1:12" x14ac:dyDescent="0.2">
      <c r="A50" s="2">
        <v>0.28999999999999998</v>
      </c>
      <c r="B50" s="2">
        <v>4.5202968130481702</v>
      </c>
      <c r="C50" s="2">
        <v>7.4555699872966903</v>
      </c>
      <c r="D50" s="2">
        <v>1.5850236387996399</v>
      </c>
      <c r="E50" s="2">
        <v>0.29399999999999998</v>
      </c>
      <c r="F50" s="2">
        <v>1.96298057355214</v>
      </c>
      <c r="G50" s="2">
        <v>3.1621084723427701</v>
      </c>
      <c r="H50" s="2">
        <v>0.76385267476150398</v>
      </c>
      <c r="I50" s="2">
        <v>0.33600000000000002</v>
      </c>
      <c r="J50" s="2">
        <v>10.4370133783651</v>
      </c>
      <c r="K50" s="2">
        <v>14.754257703463599</v>
      </c>
      <c r="L50" s="2">
        <v>6.1197690532665199</v>
      </c>
    </row>
    <row r="51" spans="1:12" x14ac:dyDescent="0.2">
      <c r="A51" s="2">
        <v>0.29399999999999998</v>
      </c>
      <c r="B51" s="2">
        <v>4.4977838926137901</v>
      </c>
      <c r="C51" s="2">
        <v>7.4683633299424503</v>
      </c>
      <c r="D51" s="2">
        <v>1.52720445528513</v>
      </c>
      <c r="E51" s="2">
        <v>0.29799999999999999</v>
      </c>
      <c r="F51" s="2">
        <v>1.96989492872363</v>
      </c>
      <c r="G51" s="2">
        <v>3.1889816823005801</v>
      </c>
      <c r="H51" s="2">
        <v>0.75080817514668996</v>
      </c>
      <c r="I51" s="2">
        <v>0.33800000000000002</v>
      </c>
      <c r="J51" s="2">
        <v>10.445119975313199</v>
      </c>
      <c r="K51" s="2">
        <v>14.6533163383532</v>
      </c>
      <c r="L51" s="2">
        <v>6.2369236122732596</v>
      </c>
    </row>
    <row r="52" spans="1:12" x14ac:dyDescent="0.2">
      <c r="A52" s="2">
        <v>0.29899999999999999</v>
      </c>
      <c r="B52" s="2">
        <v>4.4729436743551698</v>
      </c>
      <c r="C52" s="2">
        <v>7.45715910121723</v>
      </c>
      <c r="D52" s="2">
        <v>1.4887282474931101</v>
      </c>
      <c r="E52" s="2">
        <v>0.30199999999999999</v>
      </c>
      <c r="F52" s="2">
        <v>1.97655404363864</v>
      </c>
      <c r="G52" s="2">
        <v>3.2017732199912499</v>
      </c>
      <c r="H52" s="2">
        <v>0.75133486728603904</v>
      </c>
      <c r="I52" s="2">
        <v>0.35</v>
      </c>
      <c r="J52" s="2">
        <v>10.5109143812857</v>
      </c>
      <c r="K52" s="2">
        <v>15.030250982423601</v>
      </c>
      <c r="L52" s="2">
        <v>5.99157778014792</v>
      </c>
    </row>
    <row r="53" spans="1:12" x14ac:dyDescent="0.2">
      <c r="A53" s="2">
        <v>0.30399999999999999</v>
      </c>
      <c r="B53" s="2">
        <v>4.4517711586347302</v>
      </c>
      <c r="C53" s="2">
        <v>7.5122500018123901</v>
      </c>
      <c r="D53" s="2">
        <v>1.39129231545707</v>
      </c>
      <c r="E53" s="2">
        <v>0.312</v>
      </c>
      <c r="F53" s="2">
        <v>1.9920851548040299</v>
      </c>
      <c r="G53" s="2">
        <v>3.33111076492759</v>
      </c>
      <c r="H53" s="2">
        <v>0.65305954468046701</v>
      </c>
      <c r="I53" s="2">
        <v>0.35399999999999998</v>
      </c>
      <c r="J53" s="2">
        <v>10.539381021099</v>
      </c>
      <c r="K53" s="2">
        <v>15.223860843346699</v>
      </c>
      <c r="L53" s="2">
        <v>5.8549011988512198</v>
      </c>
    </row>
    <row r="54" spans="1:12" x14ac:dyDescent="0.2">
      <c r="A54" s="2">
        <v>0.308</v>
      </c>
      <c r="B54" s="2">
        <v>4.4374738918858601</v>
      </c>
      <c r="C54" s="2">
        <v>7.6120498596213597</v>
      </c>
      <c r="D54" s="2">
        <v>1.26289792415036</v>
      </c>
      <c r="E54" s="2">
        <v>0.316</v>
      </c>
      <c r="F54" s="2">
        <v>1.99785092882132</v>
      </c>
      <c r="G54" s="2">
        <v>3.3388677436193799</v>
      </c>
      <c r="H54" s="2">
        <v>0.65683411402326797</v>
      </c>
      <c r="I54" s="2">
        <v>0.378</v>
      </c>
      <c r="J54" s="2">
        <v>10.778800157113199</v>
      </c>
      <c r="K54" s="2">
        <v>16.335191133062199</v>
      </c>
      <c r="L54" s="2">
        <v>5.2224091811641999</v>
      </c>
    </row>
    <row r="55" spans="1:12" x14ac:dyDescent="0.2">
      <c r="A55" s="2">
        <v>0.313</v>
      </c>
      <c r="B55" s="2">
        <v>4.4229032407341302</v>
      </c>
      <c r="C55" s="2">
        <v>7.6719381569727298</v>
      </c>
      <c r="D55" s="2">
        <v>1.1738683244955299</v>
      </c>
      <c r="E55" s="2">
        <v>0.33500000000000002</v>
      </c>
      <c r="F55" s="2">
        <v>2.0217527306508001</v>
      </c>
      <c r="G55" s="2">
        <v>3.2528263703840099</v>
      </c>
      <c r="H55" s="2">
        <v>0.79067909091759403</v>
      </c>
      <c r="I55" s="2">
        <v>0.39600000000000002</v>
      </c>
      <c r="J55" s="2">
        <v>11.0355612184006</v>
      </c>
      <c r="K55" s="2">
        <v>16.032213413698798</v>
      </c>
      <c r="L55" s="2">
        <v>6.0389090231024802</v>
      </c>
    </row>
    <row r="56" spans="1:12" x14ac:dyDescent="0.2">
      <c r="A56" s="2">
        <v>0.33600000000000002</v>
      </c>
      <c r="B56" s="2">
        <v>4.4031182541278904</v>
      </c>
      <c r="C56" s="2">
        <v>7.54142054629129</v>
      </c>
      <c r="D56" s="2">
        <v>1.2648159619645001</v>
      </c>
      <c r="E56" s="2">
        <v>0.34399999999999997</v>
      </c>
      <c r="F56" s="2">
        <v>2.0310646197606999</v>
      </c>
      <c r="G56" s="2">
        <v>3.2779509173165802</v>
      </c>
      <c r="H56" s="2">
        <v>0.78417832220482098</v>
      </c>
      <c r="I56" s="2">
        <v>0.40500000000000003</v>
      </c>
      <c r="J56" s="2">
        <v>11.1887549770262</v>
      </c>
      <c r="K56" s="2">
        <v>15.783356970257</v>
      </c>
      <c r="L56" s="2">
        <v>6.5941529837954</v>
      </c>
    </row>
    <row r="57" spans="1:12" x14ac:dyDescent="0.2">
      <c r="A57" s="2">
        <v>0.34499999999999997</v>
      </c>
      <c r="B57" s="2">
        <v>4.4165022694670801</v>
      </c>
      <c r="C57" s="2">
        <v>7.5466270455315501</v>
      </c>
      <c r="D57" s="2">
        <v>1.28637749340261</v>
      </c>
      <c r="E57" s="2">
        <v>0.34899999999999998</v>
      </c>
      <c r="F57" s="2">
        <v>2.0356795534273502</v>
      </c>
      <c r="G57" s="2">
        <v>3.3242083169838699</v>
      </c>
      <c r="H57" s="2">
        <v>0.74715078987082695</v>
      </c>
      <c r="I57" s="2">
        <v>0.41</v>
      </c>
      <c r="J57" s="2">
        <v>11.2810104641586</v>
      </c>
      <c r="K57" s="2">
        <v>15.7648853046051</v>
      </c>
      <c r="L57" s="2">
        <v>6.7971356237121299</v>
      </c>
    </row>
    <row r="58" spans="1:12" x14ac:dyDescent="0.2">
      <c r="A58" s="2">
        <v>0.35</v>
      </c>
      <c r="B58" s="2">
        <v>4.4290726170978498</v>
      </c>
      <c r="C58" s="2">
        <v>7.6633339018979401</v>
      </c>
      <c r="D58" s="2">
        <v>1.19481133229776</v>
      </c>
      <c r="E58" s="2">
        <v>0.35399999999999998</v>
      </c>
      <c r="F58" s="2">
        <v>2.0398956741932399</v>
      </c>
      <c r="G58" s="2">
        <v>3.3668176779120902</v>
      </c>
      <c r="H58" s="2">
        <v>0.71297367047437799</v>
      </c>
      <c r="I58" s="2">
        <v>0.41899999999999998</v>
      </c>
      <c r="J58" s="2">
        <v>11.4599364592098</v>
      </c>
      <c r="K58" s="2">
        <v>15.731345942379599</v>
      </c>
      <c r="L58" s="2">
        <v>7.1885269760399702</v>
      </c>
    </row>
    <row r="59" spans="1:12" x14ac:dyDescent="0.2">
      <c r="A59" s="2">
        <v>0.35399999999999998</v>
      </c>
      <c r="B59" s="2">
        <v>4.4417696410299596</v>
      </c>
      <c r="C59" s="2">
        <v>7.8460186866392503</v>
      </c>
      <c r="D59" s="2">
        <v>1.0375205954206601</v>
      </c>
      <c r="E59" s="2">
        <v>0.376</v>
      </c>
      <c r="F59" s="2">
        <v>2.0537087083020502</v>
      </c>
      <c r="G59" s="2">
        <v>3.5075805368767998</v>
      </c>
      <c r="H59" s="2">
        <v>0.59983687972729804</v>
      </c>
      <c r="I59" s="2">
        <v>0.42799999999999999</v>
      </c>
      <c r="J59" s="2">
        <v>11.655404606248799</v>
      </c>
      <c r="K59" s="2">
        <v>16.288240606248799</v>
      </c>
      <c r="L59" s="2">
        <v>7.0225686062488304</v>
      </c>
    </row>
    <row r="60" spans="1:12" x14ac:dyDescent="0.2">
      <c r="A60" s="2">
        <v>0.378</v>
      </c>
      <c r="B60" s="2">
        <v>4.56724570673566</v>
      </c>
      <c r="C60" s="2">
        <v>8.5671229382131493</v>
      </c>
      <c r="D60" s="2">
        <v>0.56736847525816003</v>
      </c>
      <c r="E60" s="2">
        <v>0.39600000000000002</v>
      </c>
      <c r="F60" s="2">
        <v>2.0595659553044898</v>
      </c>
      <c r="G60" s="2">
        <v>3.2273559389609301</v>
      </c>
      <c r="H60" s="2">
        <v>0.89177597164804601</v>
      </c>
      <c r="I60" s="2"/>
      <c r="J60" s="2"/>
      <c r="K60" s="2"/>
      <c r="L60" s="2"/>
    </row>
    <row r="61" spans="1:12" x14ac:dyDescent="0.2">
      <c r="A61" s="2">
        <v>0.39600000000000002</v>
      </c>
      <c r="B61" s="2">
        <v>4.7168084183921399</v>
      </c>
      <c r="C61" s="2">
        <v>8.3698637475805899</v>
      </c>
      <c r="D61" s="2">
        <v>1.0637530892036999</v>
      </c>
      <c r="E61" s="2">
        <v>0.40400000000000003</v>
      </c>
      <c r="F61" s="2">
        <v>2.0601221723100398</v>
      </c>
      <c r="G61" s="2">
        <v>3.1005290454147101</v>
      </c>
      <c r="H61" s="2">
        <v>1.01971529920537</v>
      </c>
      <c r="I61" s="2"/>
      <c r="J61" s="2"/>
      <c r="K61" s="2"/>
      <c r="L61" s="2"/>
    </row>
    <row r="62" spans="1:12" x14ac:dyDescent="0.2">
      <c r="A62" s="2">
        <v>0.40500000000000003</v>
      </c>
      <c r="B62" s="2">
        <v>4.8094148085559203</v>
      </c>
      <c r="C62" s="2">
        <v>8.1643028272896601</v>
      </c>
      <c r="D62" s="2">
        <v>1.4545267898221701</v>
      </c>
      <c r="E62" s="2">
        <v>0.41199999999999998</v>
      </c>
      <c r="F62" s="2">
        <v>2.0596574282896301</v>
      </c>
      <c r="G62" s="2">
        <v>3.02312746750105</v>
      </c>
      <c r="H62" s="2">
        <v>1.0961873890782201</v>
      </c>
      <c r="I62" s="2"/>
      <c r="J62" s="2"/>
      <c r="K62" s="2"/>
      <c r="L62" s="2"/>
    </row>
    <row r="63" spans="1:12" x14ac:dyDescent="0.2">
      <c r="A63" s="2">
        <v>0.41</v>
      </c>
      <c r="B63" s="2">
        <v>4.8659975866447898</v>
      </c>
      <c r="C63" s="2">
        <v>8.1168733185496809</v>
      </c>
      <c r="D63" s="2">
        <v>1.61512185473991</v>
      </c>
      <c r="E63" s="2">
        <v>0.41799999999999998</v>
      </c>
      <c r="F63" s="2">
        <v>2.0586388646010398</v>
      </c>
      <c r="G63" s="2">
        <v>2.9599405155510801</v>
      </c>
      <c r="H63" s="2">
        <v>1.1573372136510001</v>
      </c>
      <c r="I63" s="2"/>
      <c r="J63" s="2"/>
      <c r="K63" s="2"/>
      <c r="L63" s="2"/>
    </row>
    <row r="64" spans="1:12" x14ac:dyDescent="0.2">
      <c r="A64" s="2">
        <v>0.41799999999999998</v>
      </c>
      <c r="B64" s="2">
        <v>4.9641588528664</v>
      </c>
      <c r="C64" s="2">
        <v>8.1040987682711698</v>
      </c>
      <c r="D64" s="2">
        <v>1.82421893746163</v>
      </c>
      <c r="E64" s="2">
        <v>0.42099999999999999</v>
      </c>
      <c r="F64" s="2">
        <v>2.0579142237903301</v>
      </c>
      <c r="G64" s="2">
        <v>2.93672175724212</v>
      </c>
      <c r="H64" s="2">
        <v>1.1791066903385401</v>
      </c>
      <c r="I64" s="2"/>
      <c r="J64" s="2"/>
      <c r="K64" s="2"/>
      <c r="L64" s="2"/>
    </row>
    <row r="65" spans="1:12" x14ac:dyDescent="0.2">
      <c r="A65" s="2">
        <v>0.42799999999999999</v>
      </c>
      <c r="B65" s="2">
        <v>5.1000641647808402</v>
      </c>
      <c r="C65" s="2">
        <v>8.5307151647808404</v>
      </c>
      <c r="D65" s="2">
        <v>1.6694131647808399</v>
      </c>
      <c r="E65" s="2">
        <v>0.42799999999999999</v>
      </c>
      <c r="F65" s="2">
        <v>2.0556650571709398</v>
      </c>
      <c r="G65" s="2">
        <v>2.9600214369709401</v>
      </c>
      <c r="H65" s="2">
        <v>1.15130867737094</v>
      </c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29D1-ECE5-374E-80BC-9BDCB42E50D4}">
  <sheetPr>
    <tabColor theme="0" tint="-0.499984740745262"/>
  </sheetPr>
  <dimension ref="A1:N102"/>
  <sheetViews>
    <sheetView workbookViewId="0">
      <selection activeCell="N2" sqref="N2:N3"/>
    </sheetView>
  </sheetViews>
  <sheetFormatPr baseColWidth="10" defaultColWidth="11" defaultRowHeight="16" x14ac:dyDescent="0.2"/>
  <cols>
    <col min="2" max="2" width="11.83203125" bestFit="1" customWidth="1"/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10.285</v>
      </c>
      <c r="B2" s="2">
        <v>6.13597600641521</v>
      </c>
      <c r="C2" s="2">
        <v>9.1341920064152102</v>
      </c>
      <c r="D2" s="2">
        <v>3.1377600064152098</v>
      </c>
      <c r="E2" s="2">
        <v>8.1300000000000008</v>
      </c>
      <c r="F2" s="2">
        <v>1.05614979561017</v>
      </c>
      <c r="G2" s="2">
        <v>1.8177130628101701</v>
      </c>
      <c r="H2" s="2">
        <v>0.29458652841016703</v>
      </c>
      <c r="I2" s="2">
        <v>8.1300000000000008</v>
      </c>
      <c r="J2" s="2">
        <v>12.7034124279923</v>
      </c>
      <c r="K2" s="2">
        <v>16.8554824279923</v>
      </c>
      <c r="L2" s="2">
        <v>8.5513424279922603</v>
      </c>
      <c r="N2">
        <f>MIN(J:J)</f>
        <v>6.15460254982065</v>
      </c>
    </row>
    <row r="3" spans="1:14" x14ac:dyDescent="0.2">
      <c r="A3" s="2">
        <v>11.55</v>
      </c>
      <c r="B3" s="2">
        <v>6.1242194364741902</v>
      </c>
      <c r="C3" s="2">
        <v>9.1245954165090701</v>
      </c>
      <c r="D3" s="2">
        <v>3.1238434564393098</v>
      </c>
      <c r="E3" s="2">
        <v>11.55</v>
      </c>
      <c r="F3" s="2">
        <v>1.0842389881730901</v>
      </c>
      <c r="G3" s="2">
        <v>1.8503651742014999</v>
      </c>
      <c r="H3" s="2">
        <v>0.31811280214467302</v>
      </c>
      <c r="I3" s="2">
        <v>11.55</v>
      </c>
      <c r="J3" s="2">
        <v>12.6633072500622</v>
      </c>
      <c r="K3" s="2">
        <v>16.780567269626602</v>
      </c>
      <c r="L3" s="2">
        <v>8.5460472304978303</v>
      </c>
      <c r="N3">
        <f>MAX(J:J)</f>
        <v>12.7034124279923</v>
      </c>
    </row>
    <row r="4" spans="1:14" x14ac:dyDescent="0.2">
      <c r="A4" s="2">
        <v>14.97</v>
      </c>
      <c r="B4" s="2">
        <v>6.0921773578990903</v>
      </c>
      <c r="C4" s="2">
        <v>9.2143825888874709</v>
      </c>
      <c r="D4" s="2">
        <v>2.9699721269107102</v>
      </c>
      <c r="E4" s="2">
        <v>14.97</v>
      </c>
      <c r="F4" s="2">
        <v>1.1118794417718301</v>
      </c>
      <c r="G4" s="2">
        <v>1.90679236661916</v>
      </c>
      <c r="H4" s="2">
        <v>0.31696651692450101</v>
      </c>
      <c r="I4" s="2">
        <v>14.97</v>
      </c>
      <c r="J4" s="2">
        <v>12.622651156407199</v>
      </c>
      <c r="K4" s="2">
        <v>16.925098229901799</v>
      </c>
      <c r="L4" s="2">
        <v>8.3202040829125803</v>
      </c>
    </row>
    <row r="5" spans="1:14" x14ac:dyDescent="0.2">
      <c r="A5" s="2">
        <v>18.39</v>
      </c>
      <c r="B5" s="2">
        <v>6.0597593086223496</v>
      </c>
      <c r="C5" s="2">
        <v>9.2179027778916005</v>
      </c>
      <c r="D5" s="2">
        <v>2.9016158393530902</v>
      </c>
      <c r="E5" s="2">
        <v>18.39</v>
      </c>
      <c r="F5" s="2">
        <v>1.1390711564064</v>
      </c>
      <c r="G5" s="2">
        <v>1.9382162457369601</v>
      </c>
      <c r="H5" s="2">
        <v>0.33992606707583101</v>
      </c>
      <c r="I5" s="2">
        <v>18.39</v>
      </c>
      <c r="J5" s="2">
        <v>12.581444147027099</v>
      </c>
      <c r="K5" s="2">
        <v>16.8945856467457</v>
      </c>
      <c r="L5" s="2">
        <v>8.2683026473085501</v>
      </c>
    </row>
    <row r="6" spans="1:14" x14ac:dyDescent="0.2">
      <c r="A6" s="2">
        <v>21.81</v>
      </c>
      <c r="B6" s="2">
        <v>6.02696528864396</v>
      </c>
      <c r="C6" s="2">
        <v>9.1055472281006402</v>
      </c>
      <c r="D6" s="2">
        <v>2.9483833491872899</v>
      </c>
      <c r="E6" s="2">
        <v>21.631</v>
      </c>
      <c r="F6" s="2">
        <v>1.1644255553045399</v>
      </c>
      <c r="G6" s="2">
        <v>1.9499165355675201</v>
      </c>
      <c r="H6" s="2">
        <v>0.37893457504155498</v>
      </c>
      <c r="I6" s="2">
        <v>21.81</v>
      </c>
      <c r="J6" s="2">
        <v>12.539686221922</v>
      </c>
      <c r="K6" s="2">
        <v>16.731848017480502</v>
      </c>
      <c r="L6" s="2">
        <v>8.3475244263635897</v>
      </c>
    </row>
    <row r="7" spans="1:14" x14ac:dyDescent="0.2">
      <c r="A7" s="2">
        <v>25.23</v>
      </c>
      <c r="B7" s="2">
        <v>5.9937952979639402</v>
      </c>
      <c r="C7" s="2">
        <v>8.9929086477763907</v>
      </c>
      <c r="D7" s="2">
        <v>2.9946819481514901</v>
      </c>
      <c r="E7" s="2">
        <v>21.81</v>
      </c>
      <c r="F7" s="2">
        <v>1.1658141320767901</v>
      </c>
      <c r="G7" s="2">
        <v>1.95192773037281</v>
      </c>
      <c r="H7" s="2">
        <v>0.37970053378076402</v>
      </c>
      <c r="I7" s="2">
        <v>25.23</v>
      </c>
      <c r="J7" s="2">
        <v>12.4973773810919</v>
      </c>
      <c r="K7" s="2">
        <v>16.524276074274599</v>
      </c>
      <c r="L7" s="2">
        <v>8.4704786879092797</v>
      </c>
    </row>
    <row r="8" spans="1:14" x14ac:dyDescent="0.2">
      <c r="A8" s="2">
        <v>28.65</v>
      </c>
      <c r="B8" s="2">
        <v>5.9602493365822804</v>
      </c>
      <c r="C8" s="2">
        <v>8.9383363779597396</v>
      </c>
      <c r="D8" s="2">
        <v>2.9821622952048301</v>
      </c>
      <c r="E8" s="2">
        <v>25.23</v>
      </c>
      <c r="F8" s="2">
        <v>1.1921083687830001</v>
      </c>
      <c r="G8" s="2">
        <v>1.97290636275288</v>
      </c>
      <c r="H8" s="2">
        <v>0.411310374813117</v>
      </c>
      <c r="I8" s="2">
        <v>28.65</v>
      </c>
      <c r="J8" s="2">
        <v>12.4545176245368</v>
      </c>
      <c r="K8" s="2">
        <v>16.493324508241201</v>
      </c>
      <c r="L8" s="2">
        <v>8.4157107408324201</v>
      </c>
    </row>
    <row r="9" spans="1:14" x14ac:dyDescent="0.2">
      <c r="A9" s="2">
        <v>32.07</v>
      </c>
      <c r="B9" s="2">
        <v>5.9263274044989798</v>
      </c>
      <c r="C9" s="2">
        <v>8.8251667157950795</v>
      </c>
      <c r="D9" s="2">
        <v>3.02748809320288</v>
      </c>
      <c r="E9" s="2">
        <v>28.65</v>
      </c>
      <c r="F9" s="2">
        <v>1.21795386652504</v>
      </c>
      <c r="G9" s="2">
        <v>2.0015404910987402</v>
      </c>
      <c r="H9" s="2">
        <v>0.43436724195133197</v>
      </c>
      <c r="I9" s="2">
        <v>34.863</v>
      </c>
      <c r="J9" s="2">
        <v>12.3752462308824</v>
      </c>
      <c r="K9" s="2">
        <v>16.080262878209201</v>
      </c>
      <c r="L9" s="2">
        <v>8.6702295835555798</v>
      </c>
    </row>
    <row r="10" spans="1:14" x14ac:dyDescent="0.2">
      <c r="A10" s="2">
        <v>35.49</v>
      </c>
      <c r="B10" s="2">
        <v>5.8920295017140401</v>
      </c>
      <c r="C10" s="2">
        <v>8.6528494984485107</v>
      </c>
      <c r="D10" s="2">
        <v>3.1312095049795698</v>
      </c>
      <c r="E10" s="2">
        <v>32.07</v>
      </c>
      <c r="F10" s="2">
        <v>1.2433506253029001</v>
      </c>
      <c r="G10" s="2">
        <v>2.0028850241075902</v>
      </c>
      <c r="H10" s="2">
        <v>0.483816226498202</v>
      </c>
      <c r="I10" s="2">
        <v>35.49</v>
      </c>
      <c r="J10" s="2">
        <v>12.367145364251501</v>
      </c>
      <c r="K10" s="2">
        <v>16.0297527836351</v>
      </c>
      <c r="L10" s="2">
        <v>8.7045379448678499</v>
      </c>
    </row>
    <row r="11" spans="1:14" x14ac:dyDescent="0.2">
      <c r="A11" s="2">
        <v>38.909999999999997</v>
      </c>
      <c r="B11" s="2">
        <v>5.8573556282274604</v>
      </c>
      <c r="C11" s="2">
        <v>8.4797043852838705</v>
      </c>
      <c r="D11" s="2">
        <v>3.2350068711710498</v>
      </c>
      <c r="E11" s="2">
        <v>35.49</v>
      </c>
      <c r="F11" s="2">
        <v>1.2682986451165801</v>
      </c>
      <c r="G11" s="2">
        <v>2.0026930713564299</v>
      </c>
      <c r="H11" s="2">
        <v>0.53390421887672801</v>
      </c>
      <c r="I11" s="2">
        <v>38.909999999999997</v>
      </c>
      <c r="J11" s="2">
        <v>12.322632860521299</v>
      </c>
      <c r="K11" s="2">
        <v>15.8632971897977</v>
      </c>
      <c r="L11" s="2">
        <v>8.7819685312448108</v>
      </c>
    </row>
    <row r="12" spans="1:14" x14ac:dyDescent="0.2">
      <c r="A12" s="2">
        <v>42.33</v>
      </c>
      <c r="B12" s="2">
        <v>5.8223057840392398</v>
      </c>
      <c r="C12" s="2">
        <v>8.3943482931110598</v>
      </c>
      <c r="D12" s="2">
        <v>3.2502632749674198</v>
      </c>
      <c r="E12" s="2">
        <v>38.909999999999997</v>
      </c>
      <c r="F12" s="2">
        <v>1.29279792596609</v>
      </c>
      <c r="G12" s="2">
        <v>2.0009771492144699</v>
      </c>
      <c r="H12" s="2">
        <v>0.58461870271770799</v>
      </c>
      <c r="I12" s="2">
        <v>42.33</v>
      </c>
      <c r="J12" s="2">
        <v>12.277569441066101</v>
      </c>
      <c r="K12" s="2">
        <v>15.7409040569247</v>
      </c>
      <c r="L12" s="2">
        <v>8.8142348252074605</v>
      </c>
    </row>
    <row r="13" spans="1:14" x14ac:dyDescent="0.2">
      <c r="A13" s="2">
        <v>45.75</v>
      </c>
      <c r="B13" s="2">
        <v>5.7868799691493802</v>
      </c>
      <c r="C13" s="2">
        <v>8.2196369592458094</v>
      </c>
      <c r="D13" s="2">
        <v>3.3541229790529501</v>
      </c>
      <c r="E13" s="2">
        <v>42.33</v>
      </c>
      <c r="F13" s="2">
        <v>1.3168484678514201</v>
      </c>
      <c r="G13" s="2">
        <v>2.0253538810589902</v>
      </c>
      <c r="H13" s="2">
        <v>0.60834305464385396</v>
      </c>
      <c r="I13" s="2">
        <v>45.75</v>
      </c>
      <c r="J13" s="2">
        <v>12.231955105885801</v>
      </c>
      <c r="K13" s="2">
        <v>15.5275730727974</v>
      </c>
      <c r="L13" s="2">
        <v>8.9363371389742703</v>
      </c>
    </row>
    <row r="14" spans="1:14" x14ac:dyDescent="0.2">
      <c r="A14" s="2">
        <v>52.59</v>
      </c>
      <c r="B14" s="2">
        <v>5.7149004272647401</v>
      </c>
      <c r="C14" s="2">
        <v>8.0762682041190406</v>
      </c>
      <c r="D14" s="2">
        <v>3.3535326504104401</v>
      </c>
      <c r="E14" s="2">
        <v>45.75</v>
      </c>
      <c r="F14" s="2">
        <v>1.3404502707725801</v>
      </c>
      <c r="G14" s="2">
        <v>2.0209908847261699</v>
      </c>
      <c r="H14" s="2">
        <v>0.65990965681898095</v>
      </c>
      <c r="I14" s="2">
        <v>52.554000000000002</v>
      </c>
      <c r="J14" s="2">
        <v>12.139568306507501</v>
      </c>
      <c r="K14" s="2">
        <v>15.324525956734799</v>
      </c>
      <c r="L14" s="2">
        <v>8.9546106562801508</v>
      </c>
    </row>
    <row r="15" spans="1:14" x14ac:dyDescent="0.2">
      <c r="A15" s="2">
        <v>56.01</v>
      </c>
      <c r="B15" s="2">
        <v>5.6783467002699597</v>
      </c>
      <c r="C15" s="2">
        <v>7.9890884691580002</v>
      </c>
      <c r="D15" s="2">
        <v>3.3676049313819201</v>
      </c>
      <c r="E15" s="2">
        <v>49.17</v>
      </c>
      <c r="F15" s="2">
        <v>1.36360333472955</v>
      </c>
      <c r="G15" s="2">
        <v>2.0340234116059199</v>
      </c>
      <c r="H15" s="2">
        <v>0.69318325785319201</v>
      </c>
      <c r="I15" s="2">
        <v>52.59</v>
      </c>
      <c r="J15" s="2">
        <v>12.139073688350299</v>
      </c>
      <c r="K15" s="2">
        <v>15.3241677665183</v>
      </c>
      <c r="L15" s="2">
        <v>8.9539796101822802</v>
      </c>
    </row>
    <row r="16" spans="1:14" x14ac:dyDescent="0.2">
      <c r="A16" s="2">
        <v>59.43</v>
      </c>
      <c r="B16" s="2">
        <v>5.6414170025735402</v>
      </c>
      <c r="C16" s="2">
        <v>7.8411612117838798</v>
      </c>
      <c r="D16" s="2">
        <v>3.4416727933631899</v>
      </c>
      <c r="E16" s="2">
        <v>52.59</v>
      </c>
      <c r="F16" s="2">
        <v>1.38630765972236</v>
      </c>
      <c r="G16" s="2">
        <v>2.06517809266454</v>
      </c>
      <c r="H16" s="2">
        <v>0.70743722678017296</v>
      </c>
      <c r="I16" s="2">
        <v>56.01</v>
      </c>
      <c r="J16" s="2">
        <v>12.091806605995</v>
      </c>
      <c r="K16" s="2">
        <v>15.198737239775699</v>
      </c>
      <c r="L16" s="2">
        <v>8.9848759722142599</v>
      </c>
    </row>
    <row r="17" spans="1:12" x14ac:dyDescent="0.2">
      <c r="A17" s="2">
        <v>62.85</v>
      </c>
      <c r="B17" s="2">
        <v>5.6041113341754798</v>
      </c>
      <c r="C17" s="2">
        <v>7.78299536600748</v>
      </c>
      <c r="D17" s="2">
        <v>3.4252273023434801</v>
      </c>
      <c r="E17" s="2">
        <v>56.01</v>
      </c>
      <c r="F17" s="2">
        <v>1.40856324575098</v>
      </c>
      <c r="G17" s="2">
        <v>2.0764509166499399</v>
      </c>
      <c r="H17" s="2">
        <v>0.74067557485202695</v>
      </c>
      <c r="I17" s="2">
        <v>59.43</v>
      </c>
      <c r="J17" s="2">
        <v>12.043988607914599</v>
      </c>
      <c r="K17" s="2">
        <v>15.026592448398899</v>
      </c>
      <c r="L17" s="2">
        <v>9.0613847674303596</v>
      </c>
    </row>
    <row r="18" spans="1:12" x14ac:dyDescent="0.2">
      <c r="A18" s="2">
        <v>63.398000000000003</v>
      </c>
      <c r="B18" s="2">
        <v>5.5980987526236499</v>
      </c>
      <c r="C18" s="2">
        <v>7.7785017909546204</v>
      </c>
      <c r="D18" s="2">
        <v>3.4176957142926798</v>
      </c>
      <c r="E18" s="2">
        <v>59.43</v>
      </c>
      <c r="F18" s="2">
        <v>1.4303700928154299</v>
      </c>
      <c r="G18" s="2">
        <v>2.0769367498344899</v>
      </c>
      <c r="H18" s="2">
        <v>0.78380343579637601</v>
      </c>
      <c r="I18" s="2">
        <v>62.85</v>
      </c>
      <c r="J18" s="2">
        <v>11.995619694109299</v>
      </c>
      <c r="K18" s="2">
        <v>14.945348566303</v>
      </c>
      <c r="L18" s="2">
        <v>9.0458908219156005</v>
      </c>
    </row>
    <row r="19" spans="1:12" x14ac:dyDescent="0.2">
      <c r="A19" s="2">
        <v>66.27</v>
      </c>
      <c r="B19" s="2">
        <v>5.5664296950757803</v>
      </c>
      <c r="C19" s="2">
        <v>7.7853392330397204</v>
      </c>
      <c r="D19" s="2">
        <v>3.3475201571118398</v>
      </c>
      <c r="E19" s="2">
        <v>62.85</v>
      </c>
      <c r="F19" s="2">
        <v>1.4517282009157</v>
      </c>
      <c r="G19" s="2">
        <v>2.0960312439036599</v>
      </c>
      <c r="H19" s="2">
        <v>0.80742515792775305</v>
      </c>
      <c r="I19" s="2">
        <v>66.27</v>
      </c>
      <c r="J19" s="2">
        <v>11.9466998645789</v>
      </c>
      <c r="K19" s="2">
        <v>14.956203665234501</v>
      </c>
      <c r="L19" s="2">
        <v>8.9371960639233006</v>
      </c>
    </row>
    <row r="20" spans="1:12" x14ac:dyDescent="0.2">
      <c r="A20" s="2">
        <v>69.69</v>
      </c>
      <c r="B20" s="2">
        <v>5.52837208527444</v>
      </c>
      <c r="C20" s="2">
        <v>7.7268712673586597</v>
      </c>
      <c r="D20" s="2">
        <v>3.3298729031902199</v>
      </c>
      <c r="E20" s="2">
        <v>66.27</v>
      </c>
      <c r="F20" s="2">
        <v>1.4726375700518</v>
      </c>
      <c r="G20" s="2">
        <v>2.14446006947701</v>
      </c>
      <c r="H20" s="2">
        <v>0.80081507062658996</v>
      </c>
      <c r="I20" s="2">
        <v>69.69</v>
      </c>
      <c r="J20" s="2">
        <v>11.8972291193235</v>
      </c>
      <c r="K20" s="2">
        <v>14.9208892043095</v>
      </c>
      <c r="L20" s="2">
        <v>8.8735690343375193</v>
      </c>
    </row>
    <row r="21" spans="1:12" x14ac:dyDescent="0.2">
      <c r="A21" s="2">
        <v>73.11</v>
      </c>
      <c r="B21" s="2">
        <v>5.4899385047714597</v>
      </c>
      <c r="C21" s="2">
        <v>7.6987795321682899</v>
      </c>
      <c r="D21" s="2">
        <v>3.2810974773746202</v>
      </c>
      <c r="E21" s="2">
        <v>69.69</v>
      </c>
      <c r="F21" s="2">
        <v>1.4930982002237201</v>
      </c>
      <c r="G21" s="2">
        <v>2.1624045585801599</v>
      </c>
      <c r="H21" s="2">
        <v>0.82379184186728305</v>
      </c>
      <c r="I21" s="2">
        <v>73.11</v>
      </c>
      <c r="J21" s="2">
        <v>11.8472074583431</v>
      </c>
      <c r="K21" s="2">
        <v>14.838751816558799</v>
      </c>
      <c r="L21" s="2">
        <v>8.8556631001273693</v>
      </c>
    </row>
    <row r="22" spans="1:12" x14ac:dyDescent="0.2">
      <c r="A22" s="2">
        <v>76.53</v>
      </c>
      <c r="B22" s="2">
        <v>5.4511289535668404</v>
      </c>
      <c r="C22" s="2">
        <v>7.7014949376899899</v>
      </c>
      <c r="D22" s="2">
        <v>3.2007629694436899</v>
      </c>
      <c r="E22" s="2">
        <v>73.11</v>
      </c>
      <c r="F22" s="2">
        <v>1.5131100914314699</v>
      </c>
      <c r="G22" s="2">
        <v>2.1898586701724798</v>
      </c>
      <c r="H22" s="2">
        <v>0.83636151269044801</v>
      </c>
      <c r="I22" s="2">
        <v>76.53</v>
      </c>
      <c r="J22" s="2">
        <v>11.796634881637701</v>
      </c>
      <c r="K22" s="2">
        <v>14.850020143773801</v>
      </c>
      <c r="L22" s="2">
        <v>8.7432496195014693</v>
      </c>
    </row>
    <row r="23" spans="1:12" x14ac:dyDescent="0.2">
      <c r="A23" s="2">
        <v>79.95</v>
      </c>
      <c r="B23" s="2">
        <v>5.4119434316605801</v>
      </c>
      <c r="C23" s="2">
        <v>7.7044976138999699</v>
      </c>
      <c r="D23" s="2">
        <v>3.1193892494211899</v>
      </c>
      <c r="E23" s="2">
        <v>76.53</v>
      </c>
      <c r="F23" s="2">
        <v>1.5326732436750301</v>
      </c>
      <c r="G23" s="2">
        <v>2.2271606869987299</v>
      </c>
      <c r="H23" s="2">
        <v>0.83818580035133505</v>
      </c>
      <c r="I23" s="2">
        <v>79.95</v>
      </c>
      <c r="J23" s="2">
        <v>11.7455113892072</v>
      </c>
      <c r="K23" s="2">
        <v>14.908894902777201</v>
      </c>
      <c r="L23" s="2">
        <v>8.5821278756371697</v>
      </c>
    </row>
    <row r="24" spans="1:12" x14ac:dyDescent="0.2">
      <c r="A24" s="2">
        <v>83.37</v>
      </c>
      <c r="B24" s="2">
        <v>5.3723819390526799</v>
      </c>
      <c r="C24" s="2">
        <v>7.61438558313339</v>
      </c>
      <c r="D24" s="2">
        <v>3.1303782949719698</v>
      </c>
      <c r="E24" s="2">
        <v>79.95</v>
      </c>
      <c r="F24" s="2">
        <v>1.55178765695442</v>
      </c>
      <c r="G24" s="2">
        <v>2.2641664745369598</v>
      </c>
      <c r="H24" s="2">
        <v>0.83940883937188504</v>
      </c>
      <c r="I24" s="2">
        <v>83.37</v>
      </c>
      <c r="J24" s="2">
        <v>11.6938369810517</v>
      </c>
      <c r="K24" s="2">
        <v>14.778830898323999</v>
      </c>
      <c r="L24" s="2">
        <v>8.60884306377943</v>
      </c>
    </row>
    <row r="25" spans="1:12" x14ac:dyDescent="0.2">
      <c r="A25" s="2">
        <v>86.79</v>
      </c>
      <c r="B25" s="2">
        <v>5.3324444757431397</v>
      </c>
      <c r="C25" s="2">
        <v>7.55491232160756</v>
      </c>
      <c r="D25" s="2">
        <v>3.1099766298787301</v>
      </c>
      <c r="E25" s="2">
        <v>83.37</v>
      </c>
      <c r="F25" s="2">
        <v>1.57045333126964</v>
      </c>
      <c r="G25" s="2">
        <v>2.26911553098074</v>
      </c>
      <c r="H25" s="2">
        <v>0.87179113155853905</v>
      </c>
      <c r="I25" s="2">
        <v>86.79</v>
      </c>
      <c r="J25" s="2">
        <v>11.6416116571712</v>
      </c>
      <c r="K25" s="2">
        <v>14.6476852970536</v>
      </c>
      <c r="L25" s="2">
        <v>8.6355380172887699</v>
      </c>
    </row>
    <row r="26" spans="1:12" x14ac:dyDescent="0.2">
      <c r="A26" s="2">
        <v>90.21</v>
      </c>
      <c r="B26" s="2">
        <v>5.2921310417319702</v>
      </c>
      <c r="C26" s="2">
        <v>7.5580239975569503</v>
      </c>
      <c r="D26" s="2">
        <v>3.0262380859069902</v>
      </c>
      <c r="E26" s="2">
        <v>86.79</v>
      </c>
      <c r="F26" s="2">
        <v>1.58867026662068</v>
      </c>
      <c r="G26" s="2">
        <v>2.2838049468973498</v>
      </c>
      <c r="H26" s="2">
        <v>0.89353558634399799</v>
      </c>
      <c r="I26" s="2">
        <v>90.21</v>
      </c>
      <c r="J26" s="2">
        <v>11.588835417565701</v>
      </c>
      <c r="K26" s="2">
        <v>14.70732146796</v>
      </c>
      <c r="L26" s="2">
        <v>8.4703493671713908</v>
      </c>
    </row>
    <row r="27" spans="1:12" x14ac:dyDescent="0.2">
      <c r="A27" s="2">
        <v>93.63</v>
      </c>
      <c r="B27" s="2">
        <v>5.2514416370191501</v>
      </c>
      <c r="C27" s="2">
        <v>7.5298135189027704</v>
      </c>
      <c r="D27" s="2">
        <v>2.9730697551355298</v>
      </c>
      <c r="E27" s="2">
        <v>90.21</v>
      </c>
      <c r="F27" s="2">
        <v>1.6064384630075399</v>
      </c>
      <c r="G27" s="2">
        <v>2.3193655432123101</v>
      </c>
      <c r="H27" s="2">
        <v>0.89351138280275899</v>
      </c>
      <c r="I27" s="2">
        <v>93.63</v>
      </c>
      <c r="J27" s="2">
        <v>11.5355082622351</v>
      </c>
      <c r="K27" s="2">
        <v>14.623201476955099</v>
      </c>
      <c r="L27" s="2">
        <v>8.4478150475151299</v>
      </c>
    </row>
    <row r="28" spans="1:12" x14ac:dyDescent="0.2">
      <c r="A28" s="2">
        <v>97.05</v>
      </c>
      <c r="B28" s="2">
        <v>5.21037626160469</v>
      </c>
      <c r="C28" s="2">
        <v>7.4697609303925896</v>
      </c>
      <c r="D28" s="2">
        <v>2.95099159281679</v>
      </c>
      <c r="E28" s="2">
        <v>93.63</v>
      </c>
      <c r="F28" s="2">
        <v>1.6237579204302199</v>
      </c>
      <c r="G28" s="2">
        <v>2.35462260902389</v>
      </c>
      <c r="H28" s="2">
        <v>0.892893231836552</v>
      </c>
      <c r="I28" s="2">
        <v>94.775000000000006</v>
      </c>
      <c r="J28" s="2">
        <v>11.517531482615199</v>
      </c>
      <c r="K28" s="2">
        <v>14.659418087752901</v>
      </c>
      <c r="L28" s="2">
        <v>8.3756448774774199</v>
      </c>
    </row>
    <row r="29" spans="1:12" x14ac:dyDescent="0.2">
      <c r="A29" s="2">
        <v>100.47</v>
      </c>
      <c r="B29" s="2">
        <v>5.16893491548859</v>
      </c>
      <c r="C29" s="2">
        <v>7.4093221266854599</v>
      </c>
      <c r="D29" s="2">
        <v>2.9285477042917298</v>
      </c>
      <c r="E29" s="2">
        <v>97.05</v>
      </c>
      <c r="F29" s="2">
        <v>1.6406286388887299</v>
      </c>
      <c r="G29" s="2">
        <v>2.3565313515772401</v>
      </c>
      <c r="H29" s="2">
        <v>0.92472592620022298</v>
      </c>
      <c r="I29" s="2">
        <v>100.47</v>
      </c>
      <c r="J29" s="2">
        <v>11.427201204398999</v>
      </c>
      <c r="K29" s="2">
        <v>14.5506530407567</v>
      </c>
      <c r="L29" s="2">
        <v>8.3037493680411902</v>
      </c>
    </row>
    <row r="30" spans="1:12" x14ac:dyDescent="0.2">
      <c r="A30" s="2">
        <v>103.89</v>
      </c>
      <c r="B30" s="2">
        <v>5.1271175986708499</v>
      </c>
      <c r="C30" s="2">
        <v>7.4450633394764196</v>
      </c>
      <c r="D30" s="2">
        <v>2.8091718578652798</v>
      </c>
      <c r="E30" s="2">
        <v>100.47</v>
      </c>
      <c r="F30" s="2">
        <v>1.65705061838306</v>
      </c>
      <c r="G30" s="2">
        <v>2.3797404145424998</v>
      </c>
      <c r="H30" s="2">
        <v>0.93436082222362904</v>
      </c>
      <c r="I30" s="2">
        <v>103.89</v>
      </c>
      <c r="J30" s="2">
        <v>11.372221301893401</v>
      </c>
      <c r="K30" s="2">
        <v>14.5633420524894</v>
      </c>
      <c r="L30" s="2">
        <v>8.1811005512973392</v>
      </c>
    </row>
    <row r="31" spans="1:12" x14ac:dyDescent="0.2">
      <c r="A31" s="2">
        <v>107.31</v>
      </c>
      <c r="B31" s="2">
        <v>5.0849243111514797</v>
      </c>
      <c r="C31" s="2">
        <v>7.3843869014663497</v>
      </c>
      <c r="D31" s="2">
        <v>2.7854617208365999</v>
      </c>
      <c r="E31" s="2">
        <v>103.89</v>
      </c>
      <c r="F31" s="2">
        <v>1.67302385891322</v>
      </c>
      <c r="G31" s="2">
        <v>2.4248762979323701</v>
      </c>
      <c r="H31" s="2">
        <v>0.92117141989406803</v>
      </c>
      <c r="I31" s="2">
        <v>107.31</v>
      </c>
      <c r="J31" s="2">
        <v>11.3166904836627</v>
      </c>
      <c r="K31" s="2">
        <v>14.5271470830503</v>
      </c>
      <c r="L31" s="2">
        <v>8.1062338842750901</v>
      </c>
    </row>
    <row r="32" spans="1:12" x14ac:dyDescent="0.2">
      <c r="A32" s="2">
        <v>114.15</v>
      </c>
      <c r="B32" s="2">
        <v>4.9994098240077998</v>
      </c>
      <c r="C32" s="2">
        <v>7.2945593442752896</v>
      </c>
      <c r="D32" s="2">
        <v>2.7042603037403201</v>
      </c>
      <c r="E32" s="2">
        <v>107.31</v>
      </c>
      <c r="F32" s="2">
        <v>1.6885483604792</v>
      </c>
      <c r="G32" s="2">
        <v>2.44725695018409</v>
      </c>
      <c r="H32" s="2">
        <v>0.92983977077430402</v>
      </c>
      <c r="I32" s="2">
        <v>114.15</v>
      </c>
      <c r="J32" s="2">
        <v>11.2039761000264</v>
      </c>
      <c r="K32" s="2">
        <v>14.354500362241801</v>
      </c>
      <c r="L32" s="2">
        <v>8.053451837811</v>
      </c>
    </row>
    <row r="33" spans="1:12" x14ac:dyDescent="0.2">
      <c r="A33" s="2">
        <v>117.57</v>
      </c>
      <c r="B33" s="2">
        <v>4.9560886243835096</v>
      </c>
      <c r="C33" s="2">
        <v>7.2657944374986396</v>
      </c>
      <c r="D33" s="2">
        <v>2.64638281126838</v>
      </c>
      <c r="E33" s="2">
        <v>114.15</v>
      </c>
      <c r="F33" s="2">
        <v>1.7182511467186301</v>
      </c>
      <c r="G33" s="2">
        <v>2.4558857658395898</v>
      </c>
      <c r="H33" s="2">
        <v>0.98061652759766804</v>
      </c>
      <c r="I33" s="2">
        <v>117.57</v>
      </c>
      <c r="J33" s="2">
        <v>11.146792534620699</v>
      </c>
      <c r="K33" s="2">
        <v>14.317426840046901</v>
      </c>
      <c r="L33" s="2">
        <v>7.9761582291944304</v>
      </c>
    </row>
    <row r="34" spans="1:12" x14ac:dyDescent="0.2">
      <c r="A34" s="2">
        <v>120.99</v>
      </c>
      <c r="B34" s="2">
        <v>4.9123914540575697</v>
      </c>
      <c r="C34" s="2">
        <v>7.2037911549352698</v>
      </c>
      <c r="D34" s="2">
        <v>2.6209917531798701</v>
      </c>
      <c r="E34" s="2">
        <v>117.57</v>
      </c>
      <c r="F34" s="2">
        <v>1.7324294313920801</v>
      </c>
      <c r="G34" s="2">
        <v>2.4996624323472401</v>
      </c>
      <c r="H34" s="2">
        <v>0.96519643043692005</v>
      </c>
      <c r="I34" s="2">
        <v>120.99</v>
      </c>
      <c r="J34" s="2">
        <v>11.0890580534899</v>
      </c>
      <c r="K34" s="2">
        <v>14.229604803492601</v>
      </c>
      <c r="L34" s="2">
        <v>7.9485113034873196</v>
      </c>
    </row>
    <row r="35" spans="1:12" x14ac:dyDescent="0.2">
      <c r="A35" s="2">
        <v>124.41</v>
      </c>
      <c r="B35" s="2">
        <v>4.8683183130299899</v>
      </c>
      <c r="C35" s="2">
        <v>7.2081755705363904</v>
      </c>
      <c r="D35" s="2">
        <v>2.5284610555235898</v>
      </c>
      <c r="E35" s="2">
        <v>120.99</v>
      </c>
      <c r="F35" s="2">
        <v>1.7461589771013499</v>
      </c>
      <c r="G35" s="2">
        <v>2.5081475370896702</v>
      </c>
      <c r="H35" s="2">
        <v>0.98417041711303199</v>
      </c>
      <c r="I35" s="2">
        <v>124.41</v>
      </c>
      <c r="J35" s="2">
        <v>11.0307726566342</v>
      </c>
      <c r="K35" s="2">
        <v>14.242996192094999</v>
      </c>
      <c r="L35" s="2">
        <v>7.8185491211734002</v>
      </c>
    </row>
    <row r="36" spans="1:12" x14ac:dyDescent="0.2">
      <c r="A36" s="2">
        <v>127.83</v>
      </c>
      <c r="B36" s="2">
        <v>4.8238692013007798</v>
      </c>
      <c r="C36" s="2">
        <v>7.3139188908679502</v>
      </c>
      <c r="D36" s="2">
        <v>2.3338195117336098</v>
      </c>
      <c r="E36" s="2">
        <v>124.41</v>
      </c>
      <c r="F36" s="2">
        <v>1.7594397838464499</v>
      </c>
      <c r="G36" s="2">
        <v>2.53956086468312</v>
      </c>
      <c r="H36" s="2">
        <v>0.97931870300978097</v>
      </c>
      <c r="I36" s="2">
        <v>127.83</v>
      </c>
      <c r="J36" s="2">
        <v>10.9719363440534</v>
      </c>
      <c r="K36" s="2">
        <v>14.410953524895699</v>
      </c>
      <c r="L36" s="2">
        <v>7.53291916321119</v>
      </c>
    </row>
    <row r="37" spans="1:12" x14ac:dyDescent="0.2">
      <c r="A37" s="2">
        <v>134.66999999999999</v>
      </c>
      <c r="B37" s="2">
        <v>4.7338430657374202</v>
      </c>
      <c r="C37" s="2">
        <v>7.3261830569278299</v>
      </c>
      <c r="D37" s="2">
        <v>2.1415030745470198</v>
      </c>
      <c r="E37" s="2">
        <v>127.83</v>
      </c>
      <c r="F37" s="2">
        <v>1.7722718516273701</v>
      </c>
      <c r="G37" s="2">
        <v>2.5944819787557698</v>
      </c>
      <c r="H37" s="2">
        <v>0.95006172449897197</v>
      </c>
      <c r="I37" s="2">
        <v>131.25</v>
      </c>
      <c r="J37" s="2">
        <v>10.9125491157476</v>
      </c>
      <c r="K37" s="2">
        <v>14.4782481956137</v>
      </c>
      <c r="L37" s="2">
        <v>7.3468500358815998</v>
      </c>
    </row>
    <row r="38" spans="1:12" x14ac:dyDescent="0.2">
      <c r="A38" s="2">
        <v>138.09</v>
      </c>
      <c r="B38" s="2">
        <v>4.6882660419032902</v>
      </c>
      <c r="C38" s="2">
        <v>7.2986658156395503</v>
      </c>
      <c r="D38" s="2">
        <v>2.0778662681670199</v>
      </c>
      <c r="E38" s="2">
        <v>134.66999999999999</v>
      </c>
      <c r="F38" s="2">
        <v>1.79658977029668</v>
      </c>
      <c r="G38" s="2">
        <v>2.6560521934858499</v>
      </c>
      <c r="H38" s="2">
        <v>0.937127347107511</v>
      </c>
      <c r="I38" s="2">
        <v>135.66</v>
      </c>
      <c r="J38" s="2">
        <v>10.835157636541799</v>
      </c>
      <c r="K38" s="2">
        <v>14.3804372576153</v>
      </c>
      <c r="L38" s="2">
        <v>7.2898780154682399</v>
      </c>
    </row>
    <row r="39" spans="1:12" x14ac:dyDescent="0.2">
      <c r="A39" s="2">
        <v>144.93</v>
      </c>
      <c r="B39" s="2">
        <v>4.5959840821300899</v>
      </c>
      <c r="C39" s="2">
        <v>7.2436313246851496</v>
      </c>
      <c r="D39" s="2">
        <v>1.94833683957503</v>
      </c>
      <c r="E39" s="2">
        <v>138.09</v>
      </c>
      <c r="F39" s="2">
        <v>1.8080756211850699</v>
      </c>
      <c r="G39" s="2">
        <v>2.6863350687113199</v>
      </c>
      <c r="H39" s="2">
        <v>0.92981617365883196</v>
      </c>
      <c r="I39" s="2">
        <v>144.93</v>
      </c>
      <c r="J39" s="2">
        <v>10.669491045274301</v>
      </c>
      <c r="K39" s="2">
        <v>14.2831452907309</v>
      </c>
      <c r="L39" s="2">
        <v>7.0558367998176701</v>
      </c>
    </row>
    <row r="40" spans="1:12" x14ac:dyDescent="0.2">
      <c r="A40" s="2">
        <v>148.35</v>
      </c>
      <c r="B40" s="2">
        <v>4.54927914619104</v>
      </c>
      <c r="C40" s="2">
        <v>7.1459342084709299</v>
      </c>
      <c r="D40" s="2">
        <v>1.9526240839111499</v>
      </c>
      <c r="E40" s="2">
        <v>144.93</v>
      </c>
      <c r="F40" s="2">
        <v>1.82970110606933</v>
      </c>
      <c r="G40" s="2">
        <v>2.7087382930694601</v>
      </c>
      <c r="H40" s="2">
        <v>0.9506639190692</v>
      </c>
      <c r="I40" s="2">
        <v>148.35</v>
      </c>
      <c r="J40" s="2">
        <v>10.607349238343399</v>
      </c>
      <c r="K40" s="2">
        <v>14.193616601051399</v>
      </c>
      <c r="L40" s="2">
        <v>7.0210818756353399</v>
      </c>
    </row>
    <row r="41" spans="1:12" x14ac:dyDescent="0.2">
      <c r="A41" s="2">
        <v>151.77000000000001</v>
      </c>
      <c r="B41" s="2">
        <v>4.5021982395503404</v>
      </c>
      <c r="C41" s="2">
        <v>7.1885968225602896</v>
      </c>
      <c r="D41" s="2">
        <v>1.81579965654039</v>
      </c>
      <c r="E41" s="2">
        <v>148.35</v>
      </c>
      <c r="F41" s="2">
        <v>1.8398407400651899</v>
      </c>
      <c r="G41" s="2">
        <v>2.7127841182779999</v>
      </c>
      <c r="H41" s="2">
        <v>0.96689736185238295</v>
      </c>
      <c r="I41" s="2">
        <v>151.77000000000001</v>
      </c>
      <c r="J41" s="2">
        <v>10.5446565156874</v>
      </c>
      <c r="K41" s="2">
        <v>14.2650003817214</v>
      </c>
      <c r="L41" s="2">
        <v>6.8243126496534803</v>
      </c>
    </row>
    <row r="42" spans="1:12" x14ac:dyDescent="0.2">
      <c r="A42" s="2">
        <v>155.19</v>
      </c>
      <c r="B42" s="2">
        <v>4.4547413622080096</v>
      </c>
      <c r="C42" s="2">
        <v>7.2679087069839703</v>
      </c>
      <c r="D42" s="2">
        <v>1.6415740174320499</v>
      </c>
      <c r="E42" s="2">
        <v>151.77000000000001</v>
      </c>
      <c r="F42" s="2">
        <v>1.84953163509688</v>
      </c>
      <c r="G42" s="2">
        <v>2.7538077796114702</v>
      </c>
      <c r="H42" s="2">
        <v>0.94525549058228697</v>
      </c>
      <c r="I42" s="2">
        <v>155.19</v>
      </c>
      <c r="J42" s="2">
        <v>10.4814128773065</v>
      </c>
      <c r="K42" s="2">
        <v>14.3379141750238</v>
      </c>
      <c r="L42" s="2">
        <v>6.6249115795891704</v>
      </c>
    </row>
    <row r="43" spans="1:12" x14ac:dyDescent="0.2">
      <c r="A43" s="2">
        <v>165.45</v>
      </c>
      <c r="B43" s="2">
        <v>4.3101149059711696</v>
      </c>
      <c r="C43" s="2">
        <v>6.9328218438082203</v>
      </c>
      <c r="D43" s="2">
        <v>1.6874079681341101</v>
      </c>
      <c r="E43" s="2">
        <v>155.19</v>
      </c>
      <c r="F43" s="2">
        <v>1.85877379116439</v>
      </c>
      <c r="G43" s="2">
        <v>2.8073077216056901</v>
      </c>
      <c r="H43" s="2">
        <v>0.91023986072308105</v>
      </c>
      <c r="I43" s="2">
        <v>162.274</v>
      </c>
      <c r="J43" s="2">
        <v>10.348661069282</v>
      </c>
      <c r="K43" s="2">
        <v>13.989630727147601</v>
      </c>
      <c r="L43" s="2">
        <v>6.7076914114164703</v>
      </c>
    </row>
    <row r="44" spans="1:12" x14ac:dyDescent="0.2">
      <c r="A44" s="2">
        <v>172.29</v>
      </c>
      <c r="B44" s="2">
        <v>4.2118174149717396</v>
      </c>
      <c r="C44" s="2">
        <v>6.9125060451816696</v>
      </c>
      <c r="D44" s="2">
        <v>1.51112878476181</v>
      </c>
      <c r="E44" s="2">
        <v>165.45</v>
      </c>
      <c r="F44" s="2">
        <v>1.88380782558186</v>
      </c>
      <c r="G44" s="2">
        <v>2.7741869593889601</v>
      </c>
      <c r="H44" s="2">
        <v>0.99342869177474902</v>
      </c>
      <c r="I44" s="2">
        <v>165.45</v>
      </c>
      <c r="J44" s="2">
        <v>10.288376467813499</v>
      </c>
      <c r="K44" s="2">
        <v>13.8995855296196</v>
      </c>
      <c r="L44" s="2">
        <v>6.6771674060074302</v>
      </c>
    </row>
    <row r="45" spans="1:12" x14ac:dyDescent="0.2">
      <c r="A45" s="2">
        <v>175.71</v>
      </c>
      <c r="B45" s="2">
        <v>4.1621047134195601</v>
      </c>
      <c r="C45" s="2">
        <v>6.9959759771558403</v>
      </c>
      <c r="D45" s="2">
        <v>1.3282334496832799</v>
      </c>
      <c r="E45" s="2">
        <v>168.87</v>
      </c>
      <c r="F45" s="2">
        <v>1.8912550257926599</v>
      </c>
      <c r="G45" s="2">
        <v>2.7873995272876502</v>
      </c>
      <c r="H45" s="2">
        <v>0.995110524297668</v>
      </c>
      <c r="I45" s="2">
        <v>168.87</v>
      </c>
      <c r="J45" s="2">
        <v>10.2229291665325</v>
      </c>
      <c r="K45" s="2">
        <v>13.9179346597827</v>
      </c>
      <c r="L45" s="2">
        <v>6.5279236732822801</v>
      </c>
    </row>
    <row r="46" spans="1:12" x14ac:dyDescent="0.2">
      <c r="A46" s="2">
        <v>182.55</v>
      </c>
      <c r="B46" s="2">
        <v>4.0615513982102902</v>
      </c>
      <c r="C46" s="2">
        <v>7.1682616900180998</v>
      </c>
      <c r="D46" s="2">
        <v>0.95484110640248498</v>
      </c>
      <c r="E46" s="2">
        <v>172.29</v>
      </c>
      <c r="F46" s="2">
        <v>1.89825348703929</v>
      </c>
      <c r="G46" s="2">
        <v>2.8131615015928801</v>
      </c>
      <c r="H46" s="2">
        <v>0.98334547248569804</v>
      </c>
      <c r="I46" s="2">
        <v>175.71</v>
      </c>
      <c r="J46" s="2">
        <v>10.0903818167954</v>
      </c>
      <c r="K46" s="2">
        <v>14.070749999312399</v>
      </c>
      <c r="L46" s="2">
        <v>6.1100136342783102</v>
      </c>
    </row>
    <row r="47" spans="1:12" x14ac:dyDescent="0.2">
      <c r="A47" s="2">
        <v>189.39</v>
      </c>
      <c r="B47" s="2">
        <v>3.9594942001944702</v>
      </c>
      <c r="C47" s="2">
        <v>7.0784340099518896</v>
      </c>
      <c r="D47" s="2">
        <v>0.84055439043704006</v>
      </c>
      <c r="E47" s="2">
        <v>175.71</v>
      </c>
      <c r="F47" s="2">
        <v>1.90480320932174</v>
      </c>
      <c r="G47" s="2">
        <v>2.8648688767659198</v>
      </c>
      <c r="H47" s="2">
        <v>0.94473754187755798</v>
      </c>
      <c r="I47" s="2">
        <v>182.55</v>
      </c>
      <c r="J47" s="2">
        <v>9.9556308041581403</v>
      </c>
      <c r="K47" s="2">
        <v>14.2305257103193</v>
      </c>
      <c r="L47" s="2">
        <v>5.6807358979969704</v>
      </c>
    </row>
    <row r="48" spans="1:12" x14ac:dyDescent="0.2">
      <c r="A48" s="2">
        <v>192.81</v>
      </c>
      <c r="B48" s="2">
        <v>3.90790164513409</v>
      </c>
      <c r="C48" s="2">
        <v>7.0525006232639997</v>
      </c>
      <c r="D48" s="2">
        <v>0.76330266700418403</v>
      </c>
      <c r="E48" s="2">
        <v>182.55</v>
      </c>
      <c r="F48" s="2">
        <v>1.9165564369941099</v>
      </c>
      <c r="G48" s="2">
        <v>2.9548452764051301</v>
      </c>
      <c r="H48" s="2">
        <v>0.87826759758309103</v>
      </c>
      <c r="I48" s="2">
        <v>192.81</v>
      </c>
      <c r="J48" s="2">
        <v>9.7493724172646505</v>
      </c>
      <c r="K48" s="2">
        <v>14.128903494333001</v>
      </c>
      <c r="L48" s="2">
        <v>5.3698413401962997</v>
      </c>
    </row>
    <row r="49" spans="1:12" x14ac:dyDescent="0.2">
      <c r="A49" s="2">
        <v>196.23</v>
      </c>
      <c r="B49" s="2">
        <v>3.8559331193720801</v>
      </c>
      <c r="C49" s="2">
        <v>6.9091601592868601</v>
      </c>
      <c r="D49" s="2">
        <v>0.80270607945730199</v>
      </c>
      <c r="E49" s="2">
        <v>192.81</v>
      </c>
      <c r="F49" s="2">
        <v>1.9308207362713501</v>
      </c>
      <c r="G49" s="2">
        <v>2.9736539880089201</v>
      </c>
      <c r="H49" s="2">
        <v>0.88798748453377396</v>
      </c>
      <c r="I49" s="2">
        <v>196.23</v>
      </c>
      <c r="J49" s="2">
        <v>9.6795177901834393</v>
      </c>
      <c r="K49" s="2">
        <v>13.9159937001457</v>
      </c>
      <c r="L49" s="2">
        <v>5.4430418802212204</v>
      </c>
    </row>
    <row r="50" spans="1:12" x14ac:dyDescent="0.2">
      <c r="A50" s="2">
        <v>199.65</v>
      </c>
      <c r="B50" s="2">
        <v>3.8035886229084301</v>
      </c>
      <c r="C50" s="2">
        <v>6.8033549949131498</v>
      </c>
      <c r="D50" s="2">
        <v>0.80382225090369996</v>
      </c>
      <c r="E50" s="2">
        <v>196.23</v>
      </c>
      <c r="F50" s="2">
        <v>1.9346780247687401</v>
      </c>
      <c r="G50" s="2">
        <v>2.9424470832966798</v>
      </c>
      <c r="H50" s="2">
        <v>0.92690896624080099</v>
      </c>
      <c r="I50" s="2">
        <v>199.65</v>
      </c>
      <c r="J50" s="2">
        <v>9.6091122473772099</v>
      </c>
      <c r="K50" s="2">
        <v>13.820434140455101</v>
      </c>
      <c r="L50" s="2">
        <v>5.3977903542992802</v>
      </c>
    </row>
    <row r="51" spans="1:12" x14ac:dyDescent="0.2">
      <c r="A51" s="2">
        <v>203.07</v>
      </c>
      <c r="B51" s="2">
        <v>3.7508681557431398</v>
      </c>
      <c r="C51" s="2">
        <v>6.8554421622710002</v>
      </c>
      <c r="D51" s="2">
        <v>0.64629414921526596</v>
      </c>
      <c r="E51" s="2">
        <v>199.65</v>
      </c>
      <c r="F51" s="2">
        <v>1.93808657430196</v>
      </c>
      <c r="G51" s="2">
        <v>2.93765145272687</v>
      </c>
      <c r="H51" s="2">
        <v>0.93852169587704304</v>
      </c>
      <c r="I51" s="2">
        <v>203.07</v>
      </c>
      <c r="J51" s="2">
        <v>9.5381557888459501</v>
      </c>
      <c r="K51" s="2">
        <v>13.845161482071999</v>
      </c>
      <c r="L51" s="2">
        <v>5.2311500956198804</v>
      </c>
    </row>
    <row r="52" spans="1:12" x14ac:dyDescent="0.2">
      <c r="A52" s="2">
        <v>206.49</v>
      </c>
      <c r="B52" s="2">
        <v>3.6977717178762002</v>
      </c>
      <c r="C52" s="2">
        <v>6.8687367989067196</v>
      </c>
      <c r="D52" s="2">
        <v>0.52680663684568096</v>
      </c>
      <c r="E52" s="2">
        <v>203.07</v>
      </c>
      <c r="F52" s="2">
        <v>1.94104638487099</v>
      </c>
      <c r="G52" s="2">
        <v>2.9597152380510701</v>
      </c>
      <c r="H52" s="2">
        <v>0.92237753169092396</v>
      </c>
      <c r="I52" s="2">
        <v>206.49</v>
      </c>
      <c r="J52" s="2">
        <v>9.4666484145896792</v>
      </c>
      <c r="K52" s="2">
        <v>13.870860107858199</v>
      </c>
      <c r="L52" s="2">
        <v>5.0624367213211201</v>
      </c>
    </row>
    <row r="53" spans="1:12" x14ac:dyDescent="0.2">
      <c r="A53" s="2">
        <v>209.91</v>
      </c>
      <c r="B53" s="2">
        <v>3.6442993093076299</v>
      </c>
      <c r="C53" s="2">
        <v>6.7612834165726898</v>
      </c>
      <c r="D53" s="2">
        <v>0.52731520204257298</v>
      </c>
      <c r="E53" s="2">
        <v>206.49</v>
      </c>
      <c r="F53" s="2">
        <v>1.94355745647586</v>
      </c>
      <c r="G53" s="2">
        <v>2.9813983085951401</v>
      </c>
      <c r="H53" s="2">
        <v>0.90571660435657897</v>
      </c>
      <c r="I53" s="2">
        <v>209.91</v>
      </c>
      <c r="J53" s="2">
        <v>9.3945901246083796</v>
      </c>
      <c r="K53" s="2">
        <v>13.7124985327599</v>
      </c>
      <c r="L53" s="2">
        <v>5.07668171645689</v>
      </c>
    </row>
    <row r="54" spans="1:12" x14ac:dyDescent="0.2">
      <c r="A54" s="2">
        <v>216.75</v>
      </c>
      <c r="B54" s="2">
        <v>3.5362265800655601</v>
      </c>
      <c r="C54" s="2">
        <v>6.7069466783415104</v>
      </c>
      <c r="D54" s="2">
        <v>0.36550648178962197</v>
      </c>
      <c r="E54" s="2">
        <v>209.91</v>
      </c>
      <c r="F54" s="2">
        <v>1.9456197891165401</v>
      </c>
      <c r="G54" s="2">
        <v>2.9609707821292699</v>
      </c>
      <c r="H54" s="2">
        <v>0.93026879610381696</v>
      </c>
      <c r="I54" s="2">
        <v>216.75</v>
      </c>
      <c r="J54" s="2">
        <v>9.2488207974707208</v>
      </c>
      <c r="K54" s="2">
        <v>13.703058069701401</v>
      </c>
      <c r="L54" s="2">
        <v>4.7945835252400499</v>
      </c>
    </row>
    <row r="55" spans="1:12" x14ac:dyDescent="0.2">
      <c r="A55" s="2">
        <v>220.17</v>
      </c>
      <c r="B55" s="2">
        <v>3.4816262593920699</v>
      </c>
      <c r="C55" s="2">
        <v>6.7213202639765601</v>
      </c>
      <c r="D55" s="2">
        <v>0.24193225480758199</v>
      </c>
      <c r="E55" s="2">
        <v>216.75</v>
      </c>
      <c r="F55" s="2">
        <v>1.9483982375053901</v>
      </c>
      <c r="G55" s="2">
        <v>2.9738926006801099</v>
      </c>
      <c r="H55" s="2">
        <v>0.92290387433066301</v>
      </c>
      <c r="I55" s="2">
        <v>220.17</v>
      </c>
      <c r="J55" s="2">
        <v>9.1751097603143599</v>
      </c>
      <c r="K55" s="2">
        <v>13.604168495582201</v>
      </c>
      <c r="L55" s="2">
        <v>4.7460510250465298</v>
      </c>
    </row>
    <row r="56" spans="1:12" x14ac:dyDescent="0.2">
      <c r="A56" s="2">
        <v>223.59</v>
      </c>
      <c r="B56" s="2">
        <v>3.4266499680169402</v>
      </c>
      <c r="C56" s="2">
        <v>6.6945255576168599</v>
      </c>
      <c r="D56" s="2">
        <v>0.15877437841702699</v>
      </c>
      <c r="E56" s="2">
        <v>220.17</v>
      </c>
      <c r="F56" s="2">
        <v>1.94911435325355</v>
      </c>
      <c r="G56" s="2">
        <v>2.9795661896403098</v>
      </c>
      <c r="H56" s="2">
        <v>0.91866251686678602</v>
      </c>
      <c r="I56" s="2">
        <v>223.59</v>
      </c>
      <c r="J56" s="2">
        <v>9.1008478074329702</v>
      </c>
      <c r="K56" s="2">
        <v>13.6317868754044</v>
      </c>
      <c r="L56" s="2">
        <v>4.5699087394615603</v>
      </c>
    </row>
    <row r="57" spans="1:12" x14ac:dyDescent="0.2">
      <c r="A57" s="2">
        <v>227.01</v>
      </c>
      <c r="B57" s="2">
        <v>3.3712977059401701</v>
      </c>
      <c r="C57" s="2">
        <v>6.75282214854139</v>
      </c>
      <c r="D57" s="2">
        <v>-1.0226736661055001E-2</v>
      </c>
      <c r="E57" s="2">
        <v>223.59</v>
      </c>
      <c r="F57" s="2">
        <v>1.94938173003753</v>
      </c>
      <c r="G57" s="2">
        <v>2.9988975445321699</v>
      </c>
      <c r="H57" s="2">
        <v>0.89986591554288897</v>
      </c>
      <c r="I57" s="2">
        <v>227.01</v>
      </c>
      <c r="J57" s="2">
        <v>9.0260349388265695</v>
      </c>
      <c r="K57" s="2">
        <v>13.7783850983738</v>
      </c>
      <c r="L57" s="2">
        <v>4.2736847792793196</v>
      </c>
    </row>
    <row r="58" spans="1:12" x14ac:dyDescent="0.2">
      <c r="A58" s="2">
        <v>237.27</v>
      </c>
      <c r="B58" s="2">
        <v>3.2029850955000199</v>
      </c>
      <c r="C58" s="2">
        <v>6.74653500604194</v>
      </c>
      <c r="D58" s="2">
        <v>-0.34056481504191199</v>
      </c>
      <c r="E58" s="2">
        <v>233.85</v>
      </c>
      <c r="F58" s="2">
        <v>1.9474914266044101</v>
      </c>
      <c r="G58" s="2">
        <v>3.0817157452532702</v>
      </c>
      <c r="H58" s="2">
        <v>0.81326710795555801</v>
      </c>
      <c r="I58" s="2">
        <v>237.27</v>
      </c>
      <c r="J58" s="2">
        <v>8.7982908386572198</v>
      </c>
      <c r="K58" s="2">
        <v>13.7440674421746</v>
      </c>
      <c r="L58" s="2">
        <v>3.8525142351397901</v>
      </c>
    </row>
    <row r="59" spans="1:12" x14ac:dyDescent="0.2">
      <c r="A59" s="2">
        <v>250.95</v>
      </c>
      <c r="B59" s="2">
        <v>2.9733046917568502</v>
      </c>
      <c r="C59" s="2">
        <v>6.0809849783582504</v>
      </c>
      <c r="D59" s="2">
        <v>-0.134375594844545</v>
      </c>
      <c r="E59" s="2">
        <v>237.27</v>
      </c>
      <c r="F59" s="2">
        <v>1.94596384753169</v>
      </c>
      <c r="G59" s="2">
        <v>3.0835770142869001</v>
      </c>
      <c r="H59" s="2">
        <v>0.80835068077647099</v>
      </c>
      <c r="I59" s="2">
        <v>250.95</v>
      </c>
      <c r="J59" s="2">
        <v>8.4869192182811108</v>
      </c>
      <c r="K59" s="2">
        <v>12.7858770601486</v>
      </c>
      <c r="L59" s="2">
        <v>4.1879613764136003</v>
      </c>
    </row>
    <row r="60" spans="1:12" x14ac:dyDescent="0.2">
      <c r="A60" s="2">
        <v>254.37</v>
      </c>
      <c r="B60" s="2">
        <v>2.9149446640669598</v>
      </c>
      <c r="C60" s="2">
        <v>5.9945956778356297</v>
      </c>
      <c r="D60" s="2">
        <v>-0.164706349701704</v>
      </c>
      <c r="E60" s="2">
        <v>250.95</v>
      </c>
      <c r="F60" s="2">
        <v>1.93536614159902</v>
      </c>
      <c r="G60" s="2">
        <v>2.9359168218973801</v>
      </c>
      <c r="H60" s="2">
        <v>0.93481546130066495</v>
      </c>
      <c r="I60" s="2">
        <v>254.37</v>
      </c>
      <c r="J60" s="2">
        <v>8.4076990238745193</v>
      </c>
      <c r="K60" s="2">
        <v>12.667852872328501</v>
      </c>
      <c r="L60" s="2">
        <v>4.1475451754205901</v>
      </c>
    </row>
    <row r="61" spans="1:12" x14ac:dyDescent="0.2">
      <c r="A61" s="2">
        <v>257.79000000000002</v>
      </c>
      <c r="B61" s="2">
        <v>2.85620866567543</v>
      </c>
      <c r="C61" s="2">
        <v>5.8689958165851204</v>
      </c>
      <c r="D61" s="2">
        <v>-0.15657848523425999</v>
      </c>
      <c r="E61" s="2">
        <v>254.37</v>
      </c>
      <c r="F61" s="2">
        <v>1.93159486770542</v>
      </c>
      <c r="G61" s="2">
        <v>2.9081279114557801</v>
      </c>
      <c r="H61" s="2">
        <v>0.95506182395505601</v>
      </c>
      <c r="I61" s="2">
        <v>257.79000000000002</v>
      </c>
      <c r="J61" s="2">
        <v>8.3279279137429203</v>
      </c>
      <c r="K61" s="2">
        <v>12.490354554216999</v>
      </c>
      <c r="L61" s="2">
        <v>4.1655012732688004</v>
      </c>
    </row>
    <row r="62" spans="1:12" x14ac:dyDescent="0.2">
      <c r="A62" s="2">
        <v>261.20999999999998</v>
      </c>
      <c r="B62" s="2">
        <v>2.7970966965822601</v>
      </c>
      <c r="C62" s="2">
        <v>5.7817964421346399</v>
      </c>
      <c r="D62" s="2">
        <v>-0.18760304897011901</v>
      </c>
      <c r="E62" s="2">
        <v>257.79000000000002</v>
      </c>
      <c r="F62" s="2">
        <v>1.9273748548476299</v>
      </c>
      <c r="G62" s="2">
        <v>2.8799002558084101</v>
      </c>
      <c r="H62" s="2">
        <v>0.97484945388686095</v>
      </c>
      <c r="I62" s="2">
        <v>261.20999999999998</v>
      </c>
      <c r="J62" s="2">
        <v>8.2476058878862908</v>
      </c>
      <c r="K62" s="2">
        <v>12.4292592878062</v>
      </c>
      <c r="L62" s="2">
        <v>4.0659524879663698</v>
      </c>
    </row>
    <row r="63" spans="1:12" x14ac:dyDescent="0.2">
      <c r="A63" s="2">
        <v>264.63</v>
      </c>
      <c r="B63" s="2">
        <v>2.7376087567874499</v>
      </c>
      <c r="C63" s="2">
        <v>5.8077225484697204</v>
      </c>
      <c r="D63" s="2">
        <v>-0.33250503489481498</v>
      </c>
      <c r="E63" s="2">
        <v>261.20999999999998</v>
      </c>
      <c r="F63" s="2">
        <v>1.92270610302568</v>
      </c>
      <c r="G63" s="2">
        <v>2.8766846090585698</v>
      </c>
      <c r="H63" s="2">
        <v>0.96872759699277899</v>
      </c>
      <c r="I63" s="2">
        <v>264.63</v>
      </c>
      <c r="J63" s="2">
        <v>8.1667329463046396</v>
      </c>
      <c r="K63" s="2">
        <v>12.423744250681899</v>
      </c>
      <c r="L63" s="2">
        <v>3.9097216419273799</v>
      </c>
    </row>
    <row r="64" spans="1:12" x14ac:dyDescent="0.2">
      <c r="A64" s="2">
        <v>268.05</v>
      </c>
      <c r="B64" s="2">
        <v>2.6777448462910001</v>
      </c>
      <c r="C64" s="2">
        <v>5.9434856349591403</v>
      </c>
      <c r="D64" s="2">
        <v>-0.58799594237713904</v>
      </c>
      <c r="E64" s="2">
        <v>264.63</v>
      </c>
      <c r="F64" s="2">
        <v>1.91758861223954</v>
      </c>
      <c r="G64" s="2">
        <v>2.8975561351460501</v>
      </c>
      <c r="H64" s="2">
        <v>0.93762108933302701</v>
      </c>
      <c r="I64" s="2">
        <v>268.05</v>
      </c>
      <c r="J64" s="2">
        <v>8.0853090889979704</v>
      </c>
      <c r="K64" s="2">
        <v>12.6430457583796</v>
      </c>
      <c r="L64" s="2">
        <v>3.5275724196163498</v>
      </c>
    </row>
    <row r="65" spans="1:12" x14ac:dyDescent="0.2">
      <c r="A65" s="2">
        <v>271.47000000000003</v>
      </c>
      <c r="B65" s="2">
        <v>2.6175049650929099</v>
      </c>
      <c r="C65" s="2">
        <v>6.0742419113763004</v>
      </c>
      <c r="D65" s="2">
        <v>-0.83923198119047904</v>
      </c>
      <c r="E65" s="2">
        <v>268.05</v>
      </c>
      <c r="F65" s="2">
        <v>1.91202238248923</v>
      </c>
      <c r="G65" s="2">
        <v>2.9539485721174499</v>
      </c>
      <c r="H65" s="2">
        <v>0.87009619286099804</v>
      </c>
      <c r="I65" s="2">
        <v>271.47000000000003</v>
      </c>
      <c r="J65" s="2">
        <v>8.0033343159662795</v>
      </c>
      <c r="K65" s="2">
        <v>12.854775361316999</v>
      </c>
      <c r="L65" s="2">
        <v>3.1518932706155098</v>
      </c>
    </row>
    <row r="66" spans="1:12" x14ac:dyDescent="0.2">
      <c r="A66" s="2">
        <v>291.99</v>
      </c>
      <c r="B66" s="2">
        <v>2.2481702931699399</v>
      </c>
      <c r="C66" s="2">
        <v>5.8085222632799898</v>
      </c>
      <c r="D66" s="2">
        <v>-1.31218167694012</v>
      </c>
      <c r="E66" s="2">
        <v>271.47000000000003</v>
      </c>
      <c r="F66" s="2">
        <v>1.90600741377474</v>
      </c>
      <c r="G66" s="2">
        <v>2.9953945116068801</v>
      </c>
      <c r="H66" s="2">
        <v>0.81662031594259099</v>
      </c>
      <c r="I66" s="2">
        <v>291.99</v>
      </c>
      <c r="J66" s="2">
        <v>7.4999164475506603</v>
      </c>
      <c r="K66" s="2">
        <v>12.3729465896141</v>
      </c>
      <c r="L66" s="2">
        <v>2.62688630548727</v>
      </c>
    </row>
    <row r="67" spans="1:12" x14ac:dyDescent="0.2">
      <c r="A67" s="2">
        <v>309.08999999999997</v>
      </c>
      <c r="B67" s="2">
        <v>1.9300522056056999</v>
      </c>
      <c r="C67" s="2">
        <v>7.3661613807382302</v>
      </c>
      <c r="D67" s="2">
        <v>-3.50605696952683</v>
      </c>
      <c r="E67" s="2">
        <v>291.99</v>
      </c>
      <c r="F67" s="2">
        <v>1.8604940832401</v>
      </c>
      <c r="G67" s="2">
        <v>2.9449095700074102</v>
      </c>
      <c r="H67" s="2">
        <v>0.77607859647278998</v>
      </c>
      <c r="I67" s="2">
        <v>336.45</v>
      </c>
      <c r="J67" s="2">
        <v>6.3411396406099403</v>
      </c>
      <c r="K67" s="2">
        <v>10.525638261907799</v>
      </c>
      <c r="L67" s="2">
        <v>2.15664101931206</v>
      </c>
    </row>
    <row r="68" spans="1:12" x14ac:dyDescent="0.2">
      <c r="A68" s="2">
        <v>336.45</v>
      </c>
      <c r="B68" s="2">
        <v>1.40151278901764</v>
      </c>
      <c r="C68" s="2">
        <v>4.3985463200109098</v>
      </c>
      <c r="D68" s="2">
        <v>-1.5955207419756201</v>
      </c>
      <c r="E68" s="2">
        <v>336.45</v>
      </c>
      <c r="F68" s="2">
        <v>1.7064626050059299</v>
      </c>
      <c r="G68" s="2">
        <v>2.5227092903324402</v>
      </c>
      <c r="H68" s="2">
        <v>0.89021591967942004</v>
      </c>
      <c r="I68" s="2">
        <v>339.87</v>
      </c>
      <c r="J68" s="2">
        <v>6.2481465530778104</v>
      </c>
      <c r="K68" s="2">
        <v>10.0180980285065</v>
      </c>
      <c r="L68" s="2">
        <v>2.4781950776491501</v>
      </c>
    </row>
    <row r="69" spans="1:12" x14ac:dyDescent="0.2">
      <c r="A69" s="2">
        <v>339.87</v>
      </c>
      <c r="B69" s="2">
        <v>1.3337534937867599</v>
      </c>
      <c r="C69" s="2">
        <v>4.02499482478449</v>
      </c>
      <c r="D69" s="2">
        <v>-1.35748783721097</v>
      </c>
      <c r="E69" s="2">
        <v>339.87</v>
      </c>
      <c r="F69" s="2">
        <v>1.6914728570079101</v>
      </c>
      <c r="G69" s="2">
        <v>2.3945934088409402</v>
      </c>
      <c r="H69" s="2">
        <v>0.98835230517488004</v>
      </c>
      <c r="I69" s="2">
        <v>343.29</v>
      </c>
      <c r="J69" s="2">
        <v>6.15460254982065</v>
      </c>
      <c r="K69" s="2">
        <v>10.3940845498207</v>
      </c>
      <c r="L69" s="2">
        <v>1.9151205498206501</v>
      </c>
    </row>
    <row r="70" spans="1:12" x14ac:dyDescent="0.2">
      <c r="A70" s="2">
        <v>343.29</v>
      </c>
      <c r="B70" s="2">
        <v>1.2656182278542301</v>
      </c>
      <c r="C70" s="2">
        <v>4.3214922278542298</v>
      </c>
      <c r="D70" s="2">
        <v>-1.7902557721457699</v>
      </c>
      <c r="E70" s="2">
        <v>343.29</v>
      </c>
      <c r="F70" s="2">
        <v>1.6760343700457201</v>
      </c>
      <c r="G70" s="2">
        <v>2.4613964893457201</v>
      </c>
      <c r="H70" s="2">
        <v>0.89067225074571599</v>
      </c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">
      <c r="J10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6E9E-6730-EA42-9078-FF0D45F0552A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0.42</v>
      </c>
      <c r="B2" s="2">
        <v>8.4000226128665201</v>
      </c>
      <c r="C2" s="2">
        <v>13.185636612866499</v>
      </c>
      <c r="D2" s="2">
        <v>3.6144086128665198</v>
      </c>
      <c r="E2" s="2">
        <v>0.39800000000000002</v>
      </c>
      <c r="F2" s="2">
        <v>1.7898565588050801</v>
      </c>
      <c r="G2" s="2">
        <v>2.9718662131050801</v>
      </c>
      <c r="H2" s="2">
        <v>0.60784690450508005</v>
      </c>
      <c r="I2" s="2">
        <v>0.39900000000000002</v>
      </c>
      <c r="J2" s="2">
        <v>17.932950069952</v>
      </c>
      <c r="K2" s="2">
        <v>24.357732069952</v>
      </c>
      <c r="L2" s="2">
        <v>11.508168069951999</v>
      </c>
      <c r="N2">
        <f>MIN(J:J)</f>
        <v>11.255459251787601</v>
      </c>
    </row>
    <row r="3" spans="1:14" x14ac:dyDescent="0.2">
      <c r="A3" s="2">
        <v>0.46100000000000002</v>
      </c>
      <c r="B3" s="2">
        <v>7.6285726497058697</v>
      </c>
      <c r="C3" s="2">
        <v>12.779904258088401</v>
      </c>
      <c r="D3" s="2">
        <v>2.4772410413233898</v>
      </c>
      <c r="E3" s="2">
        <v>0.44</v>
      </c>
      <c r="F3" s="2">
        <v>1.7927810006470299</v>
      </c>
      <c r="G3" s="2">
        <v>3.0374706640486102</v>
      </c>
      <c r="H3" s="2">
        <v>0.54809133724544301</v>
      </c>
      <c r="I3" s="2">
        <v>0.44800000000000001</v>
      </c>
      <c r="J3" s="2">
        <v>16.547089499300299</v>
      </c>
      <c r="K3" s="2">
        <v>23.3927164842301</v>
      </c>
      <c r="L3" s="2">
        <v>9.7014625143704407</v>
      </c>
      <c r="N3">
        <f>MAX(J:J)</f>
        <v>17.932950069952</v>
      </c>
    </row>
    <row r="4" spans="1:14" x14ac:dyDescent="0.2">
      <c r="A4" s="2">
        <v>0.50800000000000001</v>
      </c>
      <c r="B4" s="2">
        <v>6.8643778579333103</v>
      </c>
      <c r="C4" s="2">
        <v>10.889563329732001</v>
      </c>
      <c r="D4" s="2">
        <v>2.83919238613462</v>
      </c>
      <c r="E4" s="2">
        <v>0.48399999999999999</v>
      </c>
      <c r="F4" s="2">
        <v>1.7967653955677101</v>
      </c>
      <c r="G4" s="2">
        <v>2.92793591713898</v>
      </c>
      <c r="H4" s="2">
        <v>0.66559487399643802</v>
      </c>
      <c r="I4" s="2">
        <v>0.49</v>
      </c>
      <c r="J4" s="2">
        <v>15.487324256691601</v>
      </c>
      <c r="K4" s="2">
        <v>21.333218623326001</v>
      </c>
      <c r="L4" s="2">
        <v>9.6414298900572497</v>
      </c>
    </row>
    <row r="5" spans="1:14" x14ac:dyDescent="0.2">
      <c r="A5" s="2">
        <v>0.52900000000000003</v>
      </c>
      <c r="B5" s="2">
        <v>6.5644123443922897</v>
      </c>
      <c r="C5" s="2">
        <v>10.241073266269799</v>
      </c>
      <c r="D5" s="2">
        <v>2.8877514225148002</v>
      </c>
      <c r="E5" s="2">
        <v>0.51200000000000001</v>
      </c>
      <c r="F5" s="2">
        <v>1.7997914373116</v>
      </c>
      <c r="G5" s="2">
        <v>2.8089805154666898</v>
      </c>
      <c r="H5" s="2">
        <v>0.790602359156515</v>
      </c>
      <c r="I5" s="2">
        <v>0.51800000000000002</v>
      </c>
      <c r="J5" s="2">
        <v>14.8465142213738</v>
      </c>
      <c r="K5" s="2">
        <v>20.047916284298701</v>
      </c>
      <c r="L5" s="2">
        <v>9.6451121584489101</v>
      </c>
    </row>
    <row r="6" spans="1:14" x14ac:dyDescent="0.2">
      <c r="A6" s="2">
        <v>0.55000000000000004</v>
      </c>
      <c r="B6" s="2">
        <v>6.29006882165646</v>
      </c>
      <c r="C6" s="2">
        <v>9.6649452349653604</v>
      </c>
      <c r="D6" s="2">
        <v>2.9151924083475498</v>
      </c>
      <c r="E6" s="2">
        <v>0.54600000000000004</v>
      </c>
      <c r="F6" s="2">
        <v>1.8039788190119801</v>
      </c>
      <c r="G6" s="2">
        <v>2.6858210118917101</v>
      </c>
      <c r="H6" s="2">
        <v>0.92213662613224301</v>
      </c>
      <c r="I6" s="2">
        <v>0.54800000000000004</v>
      </c>
      <c r="J6" s="2">
        <v>14.2182576631113</v>
      </c>
      <c r="K6" s="2">
        <v>18.736349598288299</v>
      </c>
      <c r="L6" s="2">
        <v>9.7001657279342997</v>
      </c>
    </row>
    <row r="7" spans="1:14" x14ac:dyDescent="0.2">
      <c r="A7" s="2">
        <v>0.56299999999999994</v>
      </c>
      <c r="B7" s="2">
        <v>6.1330771623844997</v>
      </c>
      <c r="C7" s="2">
        <v>9.22231856002416</v>
      </c>
      <c r="D7" s="2">
        <v>3.04383576474484</v>
      </c>
      <c r="E7" s="2">
        <v>0.54800000000000004</v>
      </c>
      <c r="F7" s="2">
        <v>1.804242654072</v>
      </c>
      <c r="G7" s="2">
        <v>2.66874451911259</v>
      </c>
      <c r="H7" s="2">
        <v>0.93974078903140001</v>
      </c>
      <c r="I7" s="2">
        <v>0.56200000000000006</v>
      </c>
      <c r="J7" s="2">
        <v>13.945719880416499</v>
      </c>
      <c r="K7" s="2">
        <v>18.121154136913201</v>
      </c>
      <c r="L7" s="2">
        <v>9.77028562391971</v>
      </c>
    </row>
    <row r="8" spans="1:14" x14ac:dyDescent="0.2">
      <c r="A8" s="2">
        <v>0.56899999999999995</v>
      </c>
      <c r="B8" s="2">
        <v>6.06393115937614</v>
      </c>
      <c r="C8" s="2">
        <v>9.0741866674921692</v>
      </c>
      <c r="D8" s="2">
        <v>3.05367565126011</v>
      </c>
      <c r="E8" s="2">
        <v>0.56200000000000006</v>
      </c>
      <c r="F8" s="2">
        <v>1.8061440014591901</v>
      </c>
      <c r="G8" s="2">
        <v>2.6069962925576502</v>
      </c>
      <c r="H8" s="2">
        <v>1.00529171036072</v>
      </c>
      <c r="I8" s="2">
        <v>0.56799999999999995</v>
      </c>
      <c r="J8" s="2">
        <v>13.8329404302669</v>
      </c>
      <c r="K8" s="2">
        <v>17.880424517042702</v>
      </c>
      <c r="L8" s="2">
        <v>9.7854563434911093</v>
      </c>
    </row>
    <row r="9" spans="1:14" x14ac:dyDescent="0.2">
      <c r="A9" s="2">
        <v>0.57599999999999996</v>
      </c>
      <c r="B9" s="2">
        <v>5.98590436126692</v>
      </c>
      <c r="C9" s="2">
        <v>8.8845010283194199</v>
      </c>
      <c r="D9" s="2">
        <v>3.08730769421441</v>
      </c>
      <c r="E9" s="2">
        <v>0.56799999999999995</v>
      </c>
      <c r="F9" s="2">
        <v>1.8069880621074701</v>
      </c>
      <c r="G9" s="2">
        <v>2.5840148068461599</v>
      </c>
      <c r="H9" s="2">
        <v>1.02996131736879</v>
      </c>
      <c r="I9" s="2">
        <v>0.58199999999999996</v>
      </c>
      <c r="J9" s="2">
        <v>13.5791741122638</v>
      </c>
      <c r="K9" s="2">
        <v>17.4293384129289</v>
      </c>
      <c r="L9" s="2">
        <v>9.7290098115988002</v>
      </c>
    </row>
    <row r="10" spans="1:14" x14ac:dyDescent="0.2">
      <c r="A10" s="2">
        <v>0.59</v>
      </c>
      <c r="B10" s="2">
        <v>5.8383914286502101</v>
      </c>
      <c r="C10" s="2">
        <v>8.6867583961711397</v>
      </c>
      <c r="D10" s="2">
        <v>2.9900244611292801</v>
      </c>
      <c r="E10" s="2">
        <v>0.58199999999999996</v>
      </c>
      <c r="F10" s="2">
        <v>1.80902566441229</v>
      </c>
      <c r="G10" s="2">
        <v>2.5598349431226701</v>
      </c>
      <c r="H10" s="2">
        <v>1.05821638570191</v>
      </c>
      <c r="I10" s="2">
        <v>0.58899999999999997</v>
      </c>
      <c r="J10" s="2">
        <v>13.457218462743899</v>
      </c>
      <c r="K10" s="2">
        <v>17.1222618683246</v>
      </c>
      <c r="L10" s="2">
        <v>9.7921750571632593</v>
      </c>
    </row>
    <row r="11" spans="1:14" x14ac:dyDescent="0.2">
      <c r="A11" s="2">
        <v>0.59699999999999998</v>
      </c>
      <c r="B11" s="2">
        <v>5.7689052941427201</v>
      </c>
      <c r="C11" s="2">
        <v>8.5365249026354899</v>
      </c>
      <c r="D11" s="2">
        <v>3.0012856856499499</v>
      </c>
      <c r="E11" s="2">
        <v>0.58899999999999997</v>
      </c>
      <c r="F11" s="2">
        <v>1.81008023248058</v>
      </c>
      <c r="G11" s="2">
        <v>2.5261684378459002</v>
      </c>
      <c r="H11" s="2">
        <v>1.0939920271152499</v>
      </c>
      <c r="I11" s="2">
        <v>0.59499999999999997</v>
      </c>
      <c r="J11" s="2">
        <v>13.3552996457375</v>
      </c>
      <c r="K11" s="2">
        <v>16.9946313261316</v>
      </c>
      <c r="L11" s="2">
        <v>9.7159679653433493</v>
      </c>
    </row>
    <row r="12" spans="1:14" x14ac:dyDescent="0.2">
      <c r="A12" s="2">
        <v>0.61</v>
      </c>
      <c r="B12" s="2">
        <v>5.6474125835827298</v>
      </c>
      <c r="C12" s="2">
        <v>8.2072652250120708</v>
      </c>
      <c r="D12" s="2">
        <v>3.0875599421533799</v>
      </c>
      <c r="E12" s="2">
        <v>0.59599999999999997</v>
      </c>
      <c r="F12" s="2">
        <v>1.8111586451594499</v>
      </c>
      <c r="G12" s="2">
        <v>2.5236426180285698</v>
      </c>
      <c r="H12" s="2">
        <v>1.09867467229033</v>
      </c>
      <c r="I12" s="2">
        <v>0.59599999999999997</v>
      </c>
      <c r="J12" s="2">
        <v>13.338547819544999</v>
      </c>
      <c r="K12" s="2">
        <v>17.0389490757698</v>
      </c>
      <c r="L12" s="2">
        <v>9.6381465633202801</v>
      </c>
    </row>
    <row r="13" spans="1:14" x14ac:dyDescent="0.2">
      <c r="A13" s="2">
        <v>0.61699999999999999</v>
      </c>
      <c r="B13" s="2">
        <v>5.5860604144102197</v>
      </c>
      <c r="C13" s="2">
        <v>8.1343175290561494</v>
      </c>
      <c r="D13" s="2">
        <v>3.0378032997642999</v>
      </c>
      <c r="E13" s="2">
        <v>0.61099999999999999</v>
      </c>
      <c r="F13" s="2">
        <v>1.81354982254777</v>
      </c>
      <c r="G13" s="2">
        <v>2.4975763885881301</v>
      </c>
      <c r="H13" s="2">
        <v>1.12952325650741</v>
      </c>
      <c r="I13" s="2">
        <v>0.61099999999999999</v>
      </c>
      <c r="J13" s="2">
        <v>13.095315340098001</v>
      </c>
      <c r="K13" s="2">
        <v>16.586870834109899</v>
      </c>
      <c r="L13" s="2">
        <v>9.6037598460860405</v>
      </c>
    </row>
    <row r="14" spans="1:14" x14ac:dyDescent="0.2">
      <c r="A14" s="2">
        <v>0.63100000000000001</v>
      </c>
      <c r="B14" s="2">
        <v>5.47189673966695</v>
      </c>
      <c r="C14" s="2">
        <v>7.8809840618228497</v>
      </c>
      <c r="D14" s="2">
        <v>3.0628094175110401</v>
      </c>
      <c r="E14" s="2">
        <v>0.61799999999999999</v>
      </c>
      <c r="F14" s="2">
        <v>1.8147031754313401</v>
      </c>
      <c r="G14" s="2">
        <v>2.47246885516787</v>
      </c>
      <c r="H14" s="2">
        <v>1.15693749569481</v>
      </c>
      <c r="I14" s="2">
        <v>0.61799999999999999</v>
      </c>
      <c r="J14" s="2">
        <v>12.986969002479601</v>
      </c>
      <c r="K14" s="2">
        <v>16.396973712756601</v>
      </c>
      <c r="L14" s="2">
        <v>9.5769642922025504</v>
      </c>
    </row>
    <row r="15" spans="1:14" x14ac:dyDescent="0.2">
      <c r="A15" s="2">
        <v>0.63800000000000001</v>
      </c>
      <c r="B15" s="2">
        <v>5.4190852340961699</v>
      </c>
      <c r="C15" s="2">
        <v>7.9300051771842703</v>
      </c>
      <c r="D15" s="2">
        <v>2.90816529100807</v>
      </c>
      <c r="E15" s="2">
        <v>0.63300000000000001</v>
      </c>
      <c r="F15" s="2">
        <v>1.8172549389725901</v>
      </c>
      <c r="G15" s="2">
        <v>2.45509230996832</v>
      </c>
      <c r="H15" s="2">
        <v>1.1794175679768499</v>
      </c>
      <c r="I15" s="2">
        <v>0.63300000000000001</v>
      </c>
      <c r="J15" s="2">
        <v>12.7658600349907</v>
      </c>
      <c r="K15" s="2">
        <v>16.1298012499891</v>
      </c>
      <c r="L15" s="2">
        <v>9.4019188199923196</v>
      </c>
    </row>
    <row r="16" spans="1:14" x14ac:dyDescent="0.2">
      <c r="A16" s="2">
        <v>0.65200000000000002</v>
      </c>
      <c r="B16" s="2">
        <v>5.3220028865563602</v>
      </c>
      <c r="C16" s="2">
        <v>7.76633123259586</v>
      </c>
      <c r="D16" s="2">
        <v>2.87767454051686</v>
      </c>
      <c r="E16" s="2">
        <v>0.64</v>
      </c>
      <c r="F16" s="2">
        <v>1.8184832320608499</v>
      </c>
      <c r="G16" s="2">
        <v>2.4398260777054301</v>
      </c>
      <c r="H16" s="2">
        <v>1.19714038641626</v>
      </c>
      <c r="I16" s="2">
        <v>0.64</v>
      </c>
      <c r="J16" s="2">
        <v>12.6678380029528</v>
      </c>
      <c r="K16" s="2">
        <v>15.886072667459</v>
      </c>
      <c r="L16" s="2">
        <v>9.4496033384466003</v>
      </c>
    </row>
    <row r="17" spans="1:12" x14ac:dyDescent="0.2">
      <c r="A17" s="2">
        <v>0.65900000000000003</v>
      </c>
      <c r="B17" s="2">
        <v>5.2777320445873199</v>
      </c>
      <c r="C17" s="2">
        <v>7.5480253787714604</v>
      </c>
      <c r="D17" s="2">
        <v>3.0074387104031901</v>
      </c>
      <c r="E17" s="2">
        <v>0.64700000000000002</v>
      </c>
      <c r="F17" s="2">
        <v>1.8197353697596901</v>
      </c>
      <c r="G17" s="2">
        <v>2.4469957382001799</v>
      </c>
      <c r="H17" s="2">
        <v>1.19247500131921</v>
      </c>
      <c r="I17" s="2">
        <v>0.64700000000000002</v>
      </c>
      <c r="J17" s="2">
        <v>12.573100977235899</v>
      </c>
      <c r="K17" s="2">
        <v>15.7628781729516</v>
      </c>
      <c r="L17" s="2">
        <v>9.3833237815202697</v>
      </c>
    </row>
    <row r="18" spans="1:12" x14ac:dyDescent="0.2">
      <c r="A18" s="2">
        <v>0.67200000000000004</v>
      </c>
      <c r="B18" s="2">
        <v>5.20306773445588</v>
      </c>
      <c r="C18" s="2">
        <v>7.3140192747738304</v>
      </c>
      <c r="D18" s="2">
        <v>3.09211619413793</v>
      </c>
      <c r="E18" s="2">
        <v>0.66100000000000003</v>
      </c>
      <c r="F18" s="2">
        <v>1.82231117898914</v>
      </c>
      <c r="G18" s="2">
        <v>2.4382586603836098</v>
      </c>
      <c r="H18" s="2">
        <v>1.2063636975946801</v>
      </c>
      <c r="I18" s="2">
        <v>0.66100000000000003</v>
      </c>
      <c r="J18" s="2">
        <v>12.3934819447654</v>
      </c>
      <c r="K18" s="2">
        <v>15.585287919208</v>
      </c>
      <c r="L18" s="2">
        <v>9.2016759703228601</v>
      </c>
    </row>
    <row r="19" spans="1:12" x14ac:dyDescent="0.2">
      <c r="A19" s="2">
        <v>0.67900000000000005</v>
      </c>
      <c r="B19" s="2">
        <v>5.1669308578218098</v>
      </c>
      <c r="C19" s="2">
        <v>7.1356299817926701</v>
      </c>
      <c r="D19" s="2">
        <v>3.1982317338509598</v>
      </c>
      <c r="E19" s="2">
        <v>0.66800000000000004</v>
      </c>
      <c r="F19" s="2">
        <v>1.8236348505197499</v>
      </c>
      <c r="G19" s="2">
        <v>2.3867216932152502</v>
      </c>
      <c r="H19" s="2">
        <v>1.2605480078242499</v>
      </c>
      <c r="I19" s="2">
        <v>0.66800000000000004</v>
      </c>
      <c r="J19" s="2">
        <v>12.308599938011801</v>
      </c>
      <c r="K19" s="2">
        <v>15.222118455802001</v>
      </c>
      <c r="L19" s="2">
        <v>9.3950814202215707</v>
      </c>
    </row>
    <row r="20" spans="1:12" x14ac:dyDescent="0.2">
      <c r="A20" s="2">
        <v>0.69199999999999995</v>
      </c>
      <c r="B20" s="2">
        <v>5.1073724833124796</v>
      </c>
      <c r="C20" s="2">
        <v>7.1977030360804104</v>
      </c>
      <c r="D20" s="2">
        <v>3.0170419305445599</v>
      </c>
      <c r="E20" s="2">
        <v>0.68300000000000005</v>
      </c>
      <c r="F20" s="2">
        <v>1.82655158259035</v>
      </c>
      <c r="G20" s="2">
        <v>2.36975209572081</v>
      </c>
      <c r="H20" s="2">
        <v>1.2833510694599</v>
      </c>
      <c r="I20" s="2">
        <v>0.68300000000000005</v>
      </c>
      <c r="J20" s="2">
        <v>12.137771679518799</v>
      </c>
      <c r="K20" s="2">
        <v>14.923782480295699</v>
      </c>
      <c r="L20" s="2">
        <v>9.3517608787418105</v>
      </c>
    </row>
    <row r="21" spans="1:12" x14ac:dyDescent="0.2">
      <c r="A21" s="2">
        <v>0.69899999999999995</v>
      </c>
      <c r="B21" s="2">
        <v>5.0793695720134098</v>
      </c>
      <c r="C21" s="2">
        <v>7.0491236550885796</v>
      </c>
      <c r="D21" s="2">
        <v>3.1096154889382399</v>
      </c>
      <c r="E21" s="2">
        <v>0.69</v>
      </c>
      <c r="F21" s="2">
        <v>1.82795019432565</v>
      </c>
      <c r="G21" s="2">
        <v>2.34265015619432</v>
      </c>
      <c r="H21" s="2">
        <v>1.3132502324569799</v>
      </c>
      <c r="I21" s="2">
        <v>0.69</v>
      </c>
      <c r="J21" s="2">
        <v>12.063213978345599</v>
      </c>
      <c r="K21" s="2">
        <v>14.7529382054759</v>
      </c>
      <c r="L21" s="2">
        <v>9.3734897512152404</v>
      </c>
    </row>
    <row r="22" spans="1:12" x14ac:dyDescent="0.2">
      <c r="A22" s="2">
        <v>0.71199999999999997</v>
      </c>
      <c r="B22" s="2">
        <v>5.0349171331261902</v>
      </c>
      <c r="C22" s="2">
        <v>6.9681357310029099</v>
      </c>
      <c r="D22" s="2">
        <v>3.1016985352494699</v>
      </c>
      <c r="E22" s="2">
        <v>0.70399999999999996</v>
      </c>
      <c r="F22" s="2">
        <v>1.830818951628</v>
      </c>
      <c r="G22" s="2">
        <v>2.3242067972770801</v>
      </c>
      <c r="H22" s="2">
        <v>1.3374311059789199</v>
      </c>
      <c r="I22" s="2">
        <v>0.70399999999999996</v>
      </c>
      <c r="J22" s="2">
        <v>11.9239535949624</v>
      </c>
      <c r="K22" s="2">
        <v>14.500811578757199</v>
      </c>
      <c r="L22" s="2">
        <v>9.34709561116766</v>
      </c>
    </row>
    <row r="23" spans="1:12" x14ac:dyDescent="0.2">
      <c r="A23" s="2">
        <v>0.72</v>
      </c>
      <c r="B23" s="2">
        <v>5.0124421653196496</v>
      </c>
      <c r="C23" s="2">
        <v>6.9232056850450299</v>
      </c>
      <c r="D23" s="2">
        <v>3.10167864559428</v>
      </c>
      <c r="E23" s="2">
        <v>0.71</v>
      </c>
      <c r="F23" s="2">
        <v>1.8320776165256401</v>
      </c>
      <c r="G23" s="2">
        <v>2.3213164072257699</v>
      </c>
      <c r="H23" s="2">
        <v>1.3428388258255199</v>
      </c>
      <c r="I23" s="2">
        <v>0.71</v>
      </c>
      <c r="J23" s="2">
        <v>11.8682930302322</v>
      </c>
      <c r="K23" s="2">
        <v>14.3627450687133</v>
      </c>
      <c r="L23" s="2">
        <v>9.3738409917510594</v>
      </c>
    </row>
    <row r="24" spans="1:12" x14ac:dyDescent="0.2">
      <c r="A24" s="2">
        <v>0.73299999999999998</v>
      </c>
      <c r="B24" s="2">
        <v>4.9838509588356503</v>
      </c>
      <c r="C24" s="2">
        <v>6.6629292930038604</v>
      </c>
      <c r="D24" s="2">
        <v>3.30477262466743</v>
      </c>
      <c r="E24" s="2">
        <v>0.71799999999999997</v>
      </c>
      <c r="F24" s="2">
        <v>1.8337830873726899</v>
      </c>
      <c r="G24" s="2">
        <v>2.2837179916280799</v>
      </c>
      <c r="H24" s="2">
        <v>1.3838481831173</v>
      </c>
      <c r="I24" s="2">
        <v>0.71799999999999997</v>
      </c>
      <c r="J24" s="2">
        <v>11.7978332368635</v>
      </c>
      <c r="K24" s="2">
        <v>14.143902375185901</v>
      </c>
      <c r="L24" s="2">
        <v>9.4517640985412008</v>
      </c>
    </row>
    <row r="25" spans="1:12" x14ac:dyDescent="0.2">
      <c r="A25" s="2">
        <v>0.74</v>
      </c>
      <c r="B25" s="2">
        <v>4.9725226764732904</v>
      </c>
      <c r="C25" s="2">
        <v>6.7113228160342402</v>
      </c>
      <c r="D25" s="2">
        <v>3.2337225369123499</v>
      </c>
      <c r="E25" s="2">
        <v>0.73199999999999998</v>
      </c>
      <c r="F25" s="2">
        <v>1.8368426015597199</v>
      </c>
      <c r="G25" s="2">
        <v>2.2886804935201202</v>
      </c>
      <c r="H25" s="2">
        <v>1.3850047095993301</v>
      </c>
      <c r="I25" s="2">
        <v>0.71899999999999997</v>
      </c>
      <c r="J25" s="2">
        <v>11.7893274469464</v>
      </c>
      <c r="K25" s="2">
        <v>14.0719886063556</v>
      </c>
      <c r="L25" s="2">
        <v>9.5066662875372305</v>
      </c>
    </row>
    <row r="26" spans="1:12" x14ac:dyDescent="0.2">
      <c r="A26" s="2">
        <v>0.746</v>
      </c>
      <c r="B26" s="2">
        <v>4.9650786105060201</v>
      </c>
      <c r="C26" s="2">
        <v>6.7647217447760797</v>
      </c>
      <c r="D26" s="2">
        <v>3.1654354762359498</v>
      </c>
      <c r="E26" s="2">
        <v>0.73799999999999999</v>
      </c>
      <c r="F26" s="2">
        <v>1.83818301940794</v>
      </c>
      <c r="G26" s="2">
        <v>2.2859884745724202</v>
      </c>
      <c r="H26" s="2">
        <v>1.3903775642434599</v>
      </c>
      <c r="I26" s="2">
        <v>0.73199999999999998</v>
      </c>
      <c r="J26" s="2">
        <v>11.684852904048901</v>
      </c>
      <c r="K26" s="2">
        <v>13.9841875435829</v>
      </c>
      <c r="L26" s="2">
        <v>9.3855182645148894</v>
      </c>
    </row>
    <row r="27" spans="1:12" x14ac:dyDescent="0.2">
      <c r="A27" s="2">
        <v>0.76</v>
      </c>
      <c r="B27" s="2">
        <v>4.9558430885840297</v>
      </c>
      <c r="C27" s="2">
        <v>6.9045555765097397</v>
      </c>
      <c r="D27" s="2">
        <v>3.0071306006583098</v>
      </c>
      <c r="E27" s="2">
        <v>0.754</v>
      </c>
      <c r="F27" s="2">
        <v>1.8418431129514199</v>
      </c>
      <c r="G27" s="2">
        <v>2.3427625707616202</v>
      </c>
      <c r="H27" s="2">
        <v>1.34092365514121</v>
      </c>
      <c r="I27" s="2">
        <v>0.73799999999999999</v>
      </c>
      <c r="J27" s="2">
        <v>11.640455218133701</v>
      </c>
      <c r="K27" s="2">
        <v>13.978202340991301</v>
      </c>
      <c r="L27" s="2">
        <v>9.3027080952761292</v>
      </c>
    </row>
    <row r="28" spans="1:12" x14ac:dyDescent="0.2">
      <c r="A28" s="2">
        <v>0.76700000000000002</v>
      </c>
      <c r="B28" s="2">
        <v>4.9554956594239004</v>
      </c>
      <c r="C28" s="2">
        <v>6.9942486580995302</v>
      </c>
      <c r="D28" s="2">
        <v>2.91674266074827</v>
      </c>
      <c r="E28" s="2">
        <v>0.76</v>
      </c>
      <c r="F28" s="2">
        <v>1.8432477652607999</v>
      </c>
      <c r="G28" s="2">
        <v>2.36059198596883</v>
      </c>
      <c r="H28" s="2">
        <v>1.32590354455278</v>
      </c>
      <c r="I28" s="2">
        <v>0.754</v>
      </c>
      <c r="J28" s="2">
        <v>11.533860595404301</v>
      </c>
      <c r="K28" s="2">
        <v>14.1021844748643</v>
      </c>
      <c r="L28" s="2">
        <v>8.9655367159442108</v>
      </c>
    </row>
    <row r="29" spans="1:12" x14ac:dyDescent="0.2">
      <c r="A29" s="2">
        <v>0.78</v>
      </c>
      <c r="B29" s="2">
        <v>4.9624034016518497</v>
      </c>
      <c r="C29" s="2">
        <v>7.06857390153837</v>
      </c>
      <c r="D29" s="2">
        <v>2.8562329017653401</v>
      </c>
      <c r="E29" s="2">
        <v>0.76800000000000002</v>
      </c>
      <c r="F29" s="2">
        <v>1.84514788599018</v>
      </c>
      <c r="G29" s="2">
        <v>2.35594040812241</v>
      </c>
      <c r="H29" s="2">
        <v>1.33435536385794</v>
      </c>
      <c r="I29" s="2">
        <v>0.76</v>
      </c>
      <c r="J29" s="2">
        <v>11.4983123142724</v>
      </c>
      <c r="K29" s="2">
        <v>14.2131982568438</v>
      </c>
      <c r="L29" s="2">
        <v>8.7834263717008696</v>
      </c>
    </row>
    <row r="30" spans="1:12" x14ac:dyDescent="0.2">
      <c r="A30" s="2">
        <v>0.78800000000000003</v>
      </c>
      <c r="B30" s="2">
        <v>4.9715346991469698</v>
      </c>
      <c r="C30" s="2">
        <v>7.2300398588847203</v>
      </c>
      <c r="D30" s="2">
        <v>2.7130295394092201</v>
      </c>
      <c r="E30" s="2">
        <v>0.78200000000000003</v>
      </c>
      <c r="F30" s="2">
        <v>1.8485480374712799</v>
      </c>
      <c r="G30" s="2">
        <v>2.4293005568074202</v>
      </c>
      <c r="H30" s="2">
        <v>1.2677955181351299</v>
      </c>
      <c r="I30" s="2">
        <v>0.76800000000000002</v>
      </c>
      <c r="J30" s="2">
        <v>11.4546688990348</v>
      </c>
      <c r="K30" s="2">
        <v>14.080797944047299</v>
      </c>
      <c r="L30" s="2">
        <v>8.8285398540223703</v>
      </c>
    </row>
    <row r="31" spans="1:12" x14ac:dyDescent="0.2">
      <c r="A31" s="2">
        <v>0.80100000000000005</v>
      </c>
      <c r="B31" s="2">
        <v>4.9943036737781403</v>
      </c>
      <c r="C31" s="2">
        <v>7.2053675723209496</v>
      </c>
      <c r="D31" s="2">
        <v>2.7832397752353399</v>
      </c>
      <c r="E31" s="2">
        <v>0.78800000000000003</v>
      </c>
      <c r="F31" s="2">
        <v>1.8500344427312401</v>
      </c>
      <c r="G31" s="2">
        <v>2.4552522070838201</v>
      </c>
      <c r="H31" s="2">
        <v>1.24481667837867</v>
      </c>
      <c r="I31" s="2">
        <v>0.78200000000000003</v>
      </c>
      <c r="J31" s="2">
        <v>11.3886172279497</v>
      </c>
      <c r="K31" s="2">
        <v>14.3958043914807</v>
      </c>
      <c r="L31" s="2">
        <v>8.3814300644186694</v>
      </c>
    </row>
    <row r="32" spans="1:12" x14ac:dyDescent="0.2">
      <c r="A32" s="2">
        <v>0.80800000000000005</v>
      </c>
      <c r="B32" s="2">
        <v>5.0106308735547298</v>
      </c>
      <c r="C32" s="2">
        <v>7.2308716906068504</v>
      </c>
      <c r="D32" s="2">
        <v>2.7903900565026101</v>
      </c>
      <c r="E32" s="2">
        <v>0.80200000000000005</v>
      </c>
      <c r="F32" s="2">
        <v>1.8535708491299701</v>
      </c>
      <c r="G32" s="2">
        <v>2.4247642527443398</v>
      </c>
      <c r="H32" s="2">
        <v>1.2823774455156001</v>
      </c>
      <c r="I32" s="2">
        <v>0.78800000000000003</v>
      </c>
      <c r="J32" s="2">
        <v>11.364331825632799</v>
      </c>
      <c r="K32" s="2">
        <v>14.4515793677425</v>
      </c>
      <c r="L32" s="2">
        <v>8.2770842835231502</v>
      </c>
    </row>
    <row r="33" spans="1:12" x14ac:dyDescent="0.2">
      <c r="A33" s="2">
        <v>0.82099999999999995</v>
      </c>
      <c r="B33" s="2">
        <v>5.0485057838080198</v>
      </c>
      <c r="C33" s="2">
        <v>7.3903693445333403</v>
      </c>
      <c r="D33" s="2">
        <v>2.7066422230827101</v>
      </c>
      <c r="E33" s="2">
        <v>0.81</v>
      </c>
      <c r="F33" s="2">
        <v>1.8556344757604999</v>
      </c>
      <c r="G33" s="2">
        <v>2.43827821954571</v>
      </c>
      <c r="H33" s="2">
        <v>1.27299073197529</v>
      </c>
      <c r="I33" s="2">
        <v>0.80200000000000005</v>
      </c>
      <c r="J33" s="2">
        <v>11.3170516192394</v>
      </c>
      <c r="K33" s="2">
        <v>14.282981166422299</v>
      </c>
      <c r="L33" s="2">
        <v>8.3511220720566204</v>
      </c>
    </row>
    <row r="34" spans="1:12" x14ac:dyDescent="0.2">
      <c r="A34" s="2">
        <v>0.82799999999999996</v>
      </c>
      <c r="B34" s="2">
        <v>5.0729669489195901</v>
      </c>
      <c r="C34" s="2">
        <v>7.48756215726796</v>
      </c>
      <c r="D34" s="2">
        <v>2.65837174057121</v>
      </c>
      <c r="E34" s="2">
        <v>0.81699999999999995</v>
      </c>
      <c r="F34" s="2">
        <v>1.85746569685927</v>
      </c>
      <c r="G34" s="2">
        <v>2.4424491764154901</v>
      </c>
      <c r="H34" s="2">
        <v>1.2724822173030499</v>
      </c>
      <c r="I34" s="2">
        <v>0.81</v>
      </c>
      <c r="J34" s="2">
        <v>11.2959339616321</v>
      </c>
      <c r="K34" s="2">
        <v>14.275762002491099</v>
      </c>
      <c r="L34" s="2">
        <v>8.3161059207730492</v>
      </c>
    </row>
    <row r="35" spans="1:12" x14ac:dyDescent="0.2">
      <c r="A35" s="2">
        <v>0.84099999999999997</v>
      </c>
      <c r="B35" s="2">
        <v>5.1259477947949899</v>
      </c>
      <c r="C35" s="2">
        <v>7.8800270776249501</v>
      </c>
      <c r="D35" s="2">
        <v>2.3718685119650198</v>
      </c>
      <c r="E35" s="2">
        <v>0.83099999999999996</v>
      </c>
      <c r="F35" s="2">
        <v>1.86119967288856</v>
      </c>
      <c r="G35" s="2">
        <v>2.4967678974481</v>
      </c>
      <c r="H35" s="2">
        <v>1.22563144832902</v>
      </c>
      <c r="I35" s="2">
        <v>0.81699999999999995</v>
      </c>
      <c r="J35" s="2">
        <v>11.280975660855299</v>
      </c>
      <c r="K35" s="2">
        <v>14.3299754432712</v>
      </c>
      <c r="L35" s="2">
        <v>8.2319758784394992</v>
      </c>
    </row>
    <row r="36" spans="1:12" x14ac:dyDescent="0.2">
      <c r="A36" s="2">
        <v>0.84799999999999998</v>
      </c>
      <c r="B36" s="2">
        <v>5.15854292524154</v>
      </c>
      <c r="C36" s="2">
        <v>7.9759190511968301</v>
      </c>
      <c r="D36" s="2">
        <v>2.3411667992862601</v>
      </c>
      <c r="E36" s="2">
        <v>0.83799999999999997</v>
      </c>
      <c r="F36" s="2">
        <v>1.86310242781908</v>
      </c>
      <c r="G36" s="2">
        <v>2.5272394943045602</v>
      </c>
      <c r="H36" s="2">
        <v>1.19896536133361</v>
      </c>
      <c r="I36" s="2">
        <v>0.83099999999999996</v>
      </c>
      <c r="J36" s="2">
        <v>11.260914078264999</v>
      </c>
      <c r="K36" s="2">
        <v>14.5924874200311</v>
      </c>
      <c r="L36" s="2">
        <v>7.9293407364989799</v>
      </c>
    </row>
    <row r="37" spans="1:12" x14ac:dyDescent="0.2">
      <c r="A37" s="2">
        <v>0.86199999999999999</v>
      </c>
      <c r="B37" s="2">
        <v>5.2322738497363801</v>
      </c>
      <c r="C37" s="2">
        <v>8.2006637830238702</v>
      </c>
      <c r="D37" s="2">
        <v>2.26388391644889</v>
      </c>
      <c r="E37" s="2">
        <v>0.85199999999999998</v>
      </c>
      <c r="F37" s="2">
        <v>1.8669794715118799</v>
      </c>
      <c r="G37" s="2">
        <v>2.5582519793088698</v>
      </c>
      <c r="H37" s="2">
        <v>1.1757069637149</v>
      </c>
      <c r="I37" s="2">
        <v>0.83799999999999997</v>
      </c>
      <c r="J37" s="2">
        <v>11.255810796451501</v>
      </c>
      <c r="K37" s="2">
        <v>14.7473077586915</v>
      </c>
      <c r="L37" s="2">
        <v>7.7643138342114497</v>
      </c>
    </row>
    <row r="38" spans="1:12" x14ac:dyDescent="0.2">
      <c r="A38" s="2">
        <v>0.86399999999999999</v>
      </c>
      <c r="B38" s="2">
        <v>5.2437364349882101</v>
      </c>
      <c r="C38" s="2">
        <v>8.2642541433109393</v>
      </c>
      <c r="D38" s="2">
        <v>2.2232187266654901</v>
      </c>
      <c r="E38" s="2">
        <v>0.85899999999999999</v>
      </c>
      <c r="F38" s="2">
        <v>1.8689537602741599</v>
      </c>
      <c r="G38" s="2">
        <v>2.6037917506422099</v>
      </c>
      <c r="H38" s="2">
        <v>1.13411576990611</v>
      </c>
      <c r="I38" s="2">
        <v>0.85199999999999998</v>
      </c>
      <c r="J38" s="2">
        <v>11.255459251787601</v>
      </c>
      <c r="K38" s="2">
        <v>14.9550391402608</v>
      </c>
      <c r="L38" s="2">
        <v>7.5558793633143404</v>
      </c>
    </row>
    <row r="39" spans="1:12" x14ac:dyDescent="0.2">
      <c r="A39" s="2">
        <v>0.89</v>
      </c>
      <c r="B39" s="2">
        <v>5.4138983531329803</v>
      </c>
      <c r="C39" s="2">
        <v>8.6209781486190895</v>
      </c>
      <c r="D39" s="2">
        <v>2.20681855764688</v>
      </c>
      <c r="E39" s="2">
        <v>0.88800000000000001</v>
      </c>
      <c r="F39" s="2">
        <v>1.87738697467146</v>
      </c>
      <c r="G39" s="2">
        <v>2.6857436356871101</v>
      </c>
      <c r="H39" s="2">
        <v>1.0690303136558099</v>
      </c>
      <c r="I39" s="2">
        <v>0.85899999999999999</v>
      </c>
      <c r="J39" s="2">
        <v>11.2602109889372</v>
      </c>
      <c r="K39" s="2">
        <v>15.1545851533886</v>
      </c>
      <c r="L39" s="2">
        <v>7.3658368244858101</v>
      </c>
    </row>
    <row r="40" spans="1:12" x14ac:dyDescent="0.2">
      <c r="A40" s="2">
        <v>0.90300000000000002</v>
      </c>
      <c r="B40" s="2">
        <v>5.5137075994369296</v>
      </c>
      <c r="C40" s="2">
        <v>8.4658344381747899</v>
      </c>
      <c r="D40" s="2">
        <v>2.5615807606990701</v>
      </c>
      <c r="E40" s="2">
        <v>0.90300000000000002</v>
      </c>
      <c r="F40" s="2">
        <v>1.8819095682712601</v>
      </c>
      <c r="G40" s="2">
        <v>2.6315829137871298</v>
      </c>
      <c r="H40" s="2">
        <v>1.1322362227553999</v>
      </c>
      <c r="I40" s="2">
        <v>0.88800000000000001</v>
      </c>
      <c r="J40" s="2">
        <v>11.314892130589699</v>
      </c>
      <c r="K40" s="2">
        <v>15.6461843259482</v>
      </c>
      <c r="L40" s="2">
        <v>6.9835999352311404</v>
      </c>
    </row>
    <row r="41" spans="1:12" x14ac:dyDescent="0.2">
      <c r="A41" s="2">
        <v>0.91</v>
      </c>
      <c r="B41" s="2">
        <v>5.5715180224219401</v>
      </c>
      <c r="C41" s="2">
        <v>8.6273920224219403</v>
      </c>
      <c r="D41" s="2">
        <v>2.5156440224219301</v>
      </c>
      <c r="E41" s="2">
        <v>0.91</v>
      </c>
      <c r="F41" s="2">
        <v>1.8840575820535199</v>
      </c>
      <c r="G41" s="2">
        <v>2.6535537999535199</v>
      </c>
      <c r="H41" s="2">
        <v>1.1145613641535199</v>
      </c>
      <c r="I41" s="2">
        <v>0.90300000000000002</v>
      </c>
      <c r="J41" s="2">
        <v>11.3652989916785</v>
      </c>
      <c r="K41" s="2">
        <v>15.352867195546001</v>
      </c>
      <c r="L41" s="2">
        <v>7.3777307878109504</v>
      </c>
    </row>
    <row r="42" spans="1:12" x14ac:dyDescent="0.2">
      <c r="A42" s="2"/>
      <c r="B42" s="2"/>
      <c r="C42" s="2"/>
      <c r="D42" s="2"/>
      <c r="E42" s="2"/>
      <c r="F42" s="2"/>
      <c r="G42" s="2"/>
      <c r="H42" s="2"/>
      <c r="I42" s="2">
        <v>0.91</v>
      </c>
      <c r="J42" s="2">
        <v>11.3939843463101</v>
      </c>
      <c r="K42" s="2">
        <v>15.5023483463101</v>
      </c>
      <c r="L42" s="2">
        <v>7.2856203463101297</v>
      </c>
    </row>
    <row r="43" spans="1:1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468B-13D3-6048-81EB-0E93210800A4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cols>
    <col min="6" max="6" width="11.5" bestFit="1" customWidth="1"/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8.1180000000000003</v>
      </c>
      <c r="B2" s="2">
        <v>5.6944083807214998</v>
      </c>
      <c r="C2" s="2">
        <v>14.8043723807215</v>
      </c>
      <c r="D2" s="2">
        <v>-3.4155556192784999</v>
      </c>
      <c r="E2" s="2">
        <v>8.1180000000000003</v>
      </c>
      <c r="F2" s="2">
        <v>1.5630773192751499</v>
      </c>
      <c r="G2" s="2">
        <v>2.4753666497751499</v>
      </c>
      <c r="H2" s="2">
        <v>0.65078798877515198</v>
      </c>
      <c r="I2" s="2">
        <v>8.1180000000000003</v>
      </c>
      <c r="J2" s="2">
        <v>12.258695469582999</v>
      </c>
      <c r="K2" s="2">
        <v>19.591410856717602</v>
      </c>
      <c r="L2" s="2">
        <v>4.9259800824484197</v>
      </c>
      <c r="N2">
        <f>MIN(J:J)</f>
        <v>8.0220462803384507</v>
      </c>
    </row>
    <row r="3" spans="1:14" x14ac:dyDescent="0.2">
      <c r="A3" s="2">
        <v>27.06</v>
      </c>
      <c r="B3" s="2">
        <v>5.56459628744018</v>
      </c>
      <c r="C3" s="2">
        <v>10.8654783952231</v>
      </c>
      <c r="D3" s="2">
        <v>0.263714179657284</v>
      </c>
      <c r="E3" s="2">
        <v>27.06</v>
      </c>
      <c r="F3" s="2">
        <v>1.5775838039322001</v>
      </c>
      <c r="G3" s="2">
        <v>2.1791526914206099</v>
      </c>
      <c r="H3" s="2">
        <v>0.97601491644379001</v>
      </c>
      <c r="I3" s="2">
        <v>27.06</v>
      </c>
      <c r="J3" s="2">
        <v>12.0777410015996</v>
      </c>
      <c r="K3" s="2">
        <v>16.422024914985599</v>
      </c>
      <c r="L3" s="2">
        <v>7.7334570882135898</v>
      </c>
      <c r="N3">
        <f>MAX(J:J)</f>
        <v>12.258695469582999</v>
      </c>
    </row>
    <row r="4" spans="1:14" x14ac:dyDescent="0.2">
      <c r="A4" s="2">
        <v>42.011000000000003</v>
      </c>
      <c r="B4" s="2">
        <v>5.4634442744255196</v>
      </c>
      <c r="C4" s="2">
        <v>10.062760665234</v>
      </c>
      <c r="D4" s="2">
        <v>0.86412788361702997</v>
      </c>
      <c r="E4" s="2">
        <v>45.1</v>
      </c>
      <c r="F4" s="2">
        <v>1.59111654727719</v>
      </c>
      <c r="G4" s="2">
        <v>2.1503509356636399</v>
      </c>
      <c r="H4" s="2">
        <v>1.0318821588907401</v>
      </c>
      <c r="I4" s="2">
        <v>45.1</v>
      </c>
      <c r="J4" s="2">
        <v>11.9090707698901</v>
      </c>
      <c r="K4" s="2">
        <v>15.640416820669699</v>
      </c>
      <c r="L4" s="2">
        <v>8.1777247191105005</v>
      </c>
    </row>
    <row r="5" spans="1:14" x14ac:dyDescent="0.2">
      <c r="A5" s="2">
        <v>45.1</v>
      </c>
      <c r="B5" s="2">
        <v>5.4426894081755401</v>
      </c>
      <c r="C5" s="2">
        <v>10.0254020361067</v>
      </c>
      <c r="D5" s="2">
        <v>0.85997678024439494</v>
      </c>
      <c r="E5" s="2">
        <v>63.14</v>
      </c>
      <c r="F5" s="2">
        <v>1.6043732356676601</v>
      </c>
      <c r="G5" s="2">
        <v>2.1530308179326401</v>
      </c>
      <c r="H5" s="2">
        <v>1.0557156534026899</v>
      </c>
      <c r="I5" s="2">
        <v>63.14</v>
      </c>
      <c r="J5" s="2">
        <v>11.7439784472989</v>
      </c>
      <c r="K5" s="2">
        <v>15.2813980499532</v>
      </c>
      <c r="L5" s="2">
        <v>8.2065588446446096</v>
      </c>
    </row>
    <row r="6" spans="1:14" x14ac:dyDescent="0.2">
      <c r="A6" s="2">
        <v>63.14</v>
      </c>
      <c r="B6" s="2">
        <v>5.3224641735598803</v>
      </c>
      <c r="C6" s="2">
        <v>9.5932211043717199</v>
      </c>
      <c r="D6" s="2">
        <v>1.0517072427480501</v>
      </c>
      <c r="E6" s="2">
        <v>81.180000000000007</v>
      </c>
      <c r="F6" s="2">
        <v>1.61735386910362</v>
      </c>
      <c r="G6" s="2">
        <v>2.1551077929014202</v>
      </c>
      <c r="H6" s="2">
        <v>1.07959994530581</v>
      </c>
      <c r="I6" s="2">
        <v>99.22</v>
      </c>
      <c r="J6" s="2">
        <v>11.424527529471099</v>
      </c>
      <c r="K6" s="2">
        <v>14.6879474068585</v>
      </c>
      <c r="L6" s="2">
        <v>8.1611076520837393</v>
      </c>
    </row>
    <row r="7" spans="1:14" x14ac:dyDescent="0.2">
      <c r="A7" s="2">
        <v>81.180000000000007</v>
      </c>
      <c r="B7" s="2">
        <v>5.2039205835931899</v>
      </c>
      <c r="C7" s="2">
        <v>9.2797454385092202</v>
      </c>
      <c r="D7" s="2">
        <v>1.12809572867717</v>
      </c>
      <c r="E7" s="2">
        <v>99.22</v>
      </c>
      <c r="F7" s="2">
        <v>1.6300584475850499</v>
      </c>
      <c r="G7" s="2">
        <v>2.1649384899044599</v>
      </c>
      <c r="H7" s="2">
        <v>1.0951784052656299</v>
      </c>
      <c r="I7" s="2">
        <v>117.26</v>
      </c>
      <c r="J7" s="2">
        <v>11.270168934234601</v>
      </c>
      <c r="K7" s="2">
        <v>14.5978651730476</v>
      </c>
      <c r="L7" s="2">
        <v>7.9424726954216496</v>
      </c>
    </row>
    <row r="8" spans="1:14" x14ac:dyDescent="0.2">
      <c r="A8" s="2">
        <v>99.22</v>
      </c>
      <c r="B8" s="2">
        <v>5.0870586382754803</v>
      </c>
      <c r="C8" s="2">
        <v>8.9225624939158799</v>
      </c>
      <c r="D8" s="2">
        <v>1.2515547826350799</v>
      </c>
      <c r="E8" s="2">
        <v>117.26</v>
      </c>
      <c r="F8" s="2">
        <v>1.6424869711119601</v>
      </c>
      <c r="G8" s="2">
        <v>2.19121757264891</v>
      </c>
      <c r="H8" s="2">
        <v>1.0937563695750101</v>
      </c>
      <c r="I8" s="2">
        <v>135.30000000000001</v>
      </c>
      <c r="J8" s="2">
        <v>11.1193882481163</v>
      </c>
      <c r="K8" s="2">
        <v>14.6078772064857</v>
      </c>
      <c r="L8" s="2">
        <v>7.6308992897469397</v>
      </c>
    </row>
    <row r="9" spans="1:14" x14ac:dyDescent="0.2">
      <c r="A9" s="2">
        <v>117.26</v>
      </c>
      <c r="B9" s="2">
        <v>4.9718783376067401</v>
      </c>
      <c r="C9" s="2">
        <v>8.8292767977262105</v>
      </c>
      <c r="D9" s="2">
        <v>1.11447987748727</v>
      </c>
      <c r="E9" s="2">
        <v>135.30000000000001</v>
      </c>
      <c r="F9" s="2">
        <v>1.65463943968435</v>
      </c>
      <c r="G9" s="2">
        <v>2.2344525283572101</v>
      </c>
      <c r="H9" s="2">
        <v>1.0748263510114899</v>
      </c>
      <c r="I9" s="2">
        <v>153.34</v>
      </c>
      <c r="J9" s="2">
        <v>10.972185471116299</v>
      </c>
      <c r="K9" s="2">
        <v>14.523396197016799</v>
      </c>
      <c r="L9" s="2">
        <v>7.4209747452157702</v>
      </c>
    </row>
    <row r="10" spans="1:14" x14ac:dyDescent="0.2">
      <c r="A10" s="2">
        <v>135.30000000000001</v>
      </c>
      <c r="B10" s="2">
        <v>4.8583796815869702</v>
      </c>
      <c r="C10" s="2">
        <v>8.7850841188892108</v>
      </c>
      <c r="D10" s="2">
        <v>0.93167524428472803</v>
      </c>
      <c r="E10" s="2">
        <v>153.34</v>
      </c>
      <c r="F10" s="2">
        <v>1.66651585330222</v>
      </c>
      <c r="G10" s="2">
        <v>2.2693182005928798</v>
      </c>
      <c r="H10" s="2">
        <v>1.0637135060115599</v>
      </c>
      <c r="I10" s="2">
        <v>171.38</v>
      </c>
      <c r="J10" s="2">
        <v>10.8285606032345</v>
      </c>
      <c r="K10" s="2">
        <v>14.3948859930062</v>
      </c>
      <c r="L10" s="2">
        <v>7.2622352134627803</v>
      </c>
    </row>
    <row r="11" spans="1:14" x14ac:dyDescent="0.2">
      <c r="A11" s="2">
        <v>153.34</v>
      </c>
      <c r="B11" s="2">
        <v>4.7465626702161696</v>
      </c>
      <c r="C11" s="2">
        <v>8.6410237001337205</v>
      </c>
      <c r="D11" s="2">
        <v>0.85210164029863</v>
      </c>
      <c r="E11" s="2">
        <v>171.38</v>
      </c>
      <c r="F11" s="2">
        <v>1.6781162119655699</v>
      </c>
      <c r="G11" s="2">
        <v>2.2955610635764101</v>
      </c>
      <c r="H11" s="2">
        <v>1.06067136035473</v>
      </c>
      <c r="I11" s="2">
        <v>189.42</v>
      </c>
      <c r="J11" s="2">
        <v>10.6885136444709</v>
      </c>
      <c r="K11" s="2">
        <v>14.459413542263199</v>
      </c>
      <c r="L11" s="2">
        <v>6.9176137466786001</v>
      </c>
    </row>
    <row r="12" spans="1:14" x14ac:dyDescent="0.2">
      <c r="A12" s="2">
        <v>171.38</v>
      </c>
      <c r="B12" s="2">
        <v>4.6364273034943499</v>
      </c>
      <c r="C12" s="2">
        <v>8.5463655009457096</v>
      </c>
      <c r="D12" s="2">
        <v>0.72648910604299999</v>
      </c>
      <c r="E12" s="2">
        <v>189.42</v>
      </c>
      <c r="F12" s="2">
        <v>1.6894405156743999</v>
      </c>
      <c r="G12" s="2">
        <v>2.3480527035551302</v>
      </c>
      <c r="H12" s="2">
        <v>1.0308283277936701</v>
      </c>
      <c r="I12" s="2">
        <v>207.46</v>
      </c>
      <c r="J12" s="2">
        <v>10.552044594825601</v>
      </c>
      <c r="K12" s="2">
        <v>14.478630030476801</v>
      </c>
      <c r="L12" s="2">
        <v>6.6254591591742997</v>
      </c>
    </row>
    <row r="13" spans="1:14" x14ac:dyDescent="0.2">
      <c r="A13" s="2">
        <v>189.42</v>
      </c>
      <c r="B13" s="2">
        <v>4.5279735814215103</v>
      </c>
      <c r="C13" s="2">
        <v>8.5449777034861896</v>
      </c>
      <c r="D13" s="2">
        <v>0.51096945935682203</v>
      </c>
      <c r="E13" s="2">
        <v>207.46</v>
      </c>
      <c r="F13" s="2">
        <v>1.7004887644287101</v>
      </c>
      <c r="G13" s="2">
        <v>2.4009604768701598</v>
      </c>
      <c r="H13" s="2">
        <v>1.00001705198726</v>
      </c>
      <c r="I13" s="2">
        <v>225.5</v>
      </c>
      <c r="J13" s="2">
        <v>10.419153454298399</v>
      </c>
      <c r="K13" s="2">
        <v>14.3612369729109</v>
      </c>
      <c r="L13" s="2">
        <v>6.4770699356859698</v>
      </c>
    </row>
    <row r="14" spans="1:14" x14ac:dyDescent="0.2">
      <c r="A14" s="2">
        <v>207.46</v>
      </c>
      <c r="B14" s="2">
        <v>4.4212015039976302</v>
      </c>
      <c r="C14" s="2">
        <v>8.5855702784467507</v>
      </c>
      <c r="D14" s="2">
        <v>0.25683272954851</v>
      </c>
      <c r="E14" s="2">
        <v>225.5</v>
      </c>
      <c r="F14" s="2">
        <v>1.7112609582285001</v>
      </c>
      <c r="G14" s="2">
        <v>2.42742979480348</v>
      </c>
      <c r="H14" s="2">
        <v>0.99509212165352301</v>
      </c>
      <c r="I14" s="2">
        <v>243.54</v>
      </c>
      <c r="J14" s="2">
        <v>10.2898402228896</v>
      </c>
      <c r="K14" s="2">
        <v>14.294747247192101</v>
      </c>
      <c r="L14" s="2">
        <v>6.2849331985871002</v>
      </c>
    </row>
    <row r="15" spans="1:14" x14ac:dyDescent="0.2">
      <c r="A15" s="2">
        <v>225.5</v>
      </c>
      <c r="B15" s="2">
        <v>4.3161110712227302</v>
      </c>
      <c r="C15" s="2">
        <v>8.4863245403239596</v>
      </c>
      <c r="D15" s="2">
        <v>0.14589760212149999</v>
      </c>
      <c r="E15" s="2">
        <v>243.54</v>
      </c>
      <c r="F15" s="2">
        <v>1.7217570970737699</v>
      </c>
      <c r="G15" s="2">
        <v>2.4628432161319802</v>
      </c>
      <c r="H15" s="2">
        <v>0.98067097801555503</v>
      </c>
      <c r="I15" s="2">
        <v>261.58</v>
      </c>
      <c r="J15" s="2">
        <v>10.1641049005989</v>
      </c>
      <c r="K15" s="2">
        <v>14.3239831182778</v>
      </c>
      <c r="L15" s="2">
        <v>6.0042266829200903</v>
      </c>
    </row>
    <row r="16" spans="1:14" x14ac:dyDescent="0.2">
      <c r="A16" s="2">
        <v>243.54</v>
      </c>
      <c r="B16" s="2">
        <v>4.2127022830968004</v>
      </c>
      <c r="C16" s="2">
        <v>8.3435776582801999</v>
      </c>
      <c r="D16" s="2">
        <v>8.1826907913409005E-2</v>
      </c>
      <c r="E16" s="2">
        <v>261.58</v>
      </c>
      <c r="F16" s="2">
        <v>1.7319771809645199</v>
      </c>
      <c r="G16" s="2">
        <v>2.5074581876057098</v>
      </c>
      <c r="H16" s="2">
        <v>0.95649617432332801</v>
      </c>
      <c r="I16" s="2">
        <v>279.62</v>
      </c>
      <c r="J16" s="2">
        <v>10.041947487426601</v>
      </c>
      <c r="K16" s="2">
        <v>14.2656404428275</v>
      </c>
      <c r="L16" s="2">
        <v>5.8182545320256001</v>
      </c>
    </row>
    <row r="17" spans="1:12" x14ac:dyDescent="0.2">
      <c r="A17" s="2">
        <v>261.58</v>
      </c>
      <c r="B17" s="2">
        <v>4.1109751396198497</v>
      </c>
      <c r="C17" s="2">
        <v>8.3323964088035893</v>
      </c>
      <c r="D17" s="2">
        <v>-0.110446129563886</v>
      </c>
      <c r="E17" s="2">
        <v>279.62</v>
      </c>
      <c r="F17" s="2">
        <v>1.7419212099007499</v>
      </c>
      <c r="G17" s="2">
        <v>2.5431147842138002</v>
      </c>
      <c r="H17" s="2">
        <v>0.94072763558768802</v>
      </c>
      <c r="I17" s="2">
        <v>297.66000000000003</v>
      </c>
      <c r="J17" s="2">
        <v>9.9233679833723905</v>
      </c>
      <c r="K17" s="2">
        <v>14.166784752176699</v>
      </c>
      <c r="L17" s="2">
        <v>5.6799512145680904</v>
      </c>
    </row>
    <row r="18" spans="1:12" x14ac:dyDescent="0.2">
      <c r="A18" s="2">
        <v>279.62</v>
      </c>
      <c r="B18" s="2">
        <v>4.0109296407918702</v>
      </c>
      <c r="C18" s="2">
        <v>8.2341035017573301</v>
      </c>
      <c r="D18" s="2">
        <v>-0.21224422017359201</v>
      </c>
      <c r="E18" s="2">
        <v>297.66000000000003</v>
      </c>
      <c r="F18" s="2">
        <v>1.75158918388245</v>
      </c>
      <c r="G18" s="2">
        <v>2.5695564305330199</v>
      </c>
      <c r="H18" s="2">
        <v>0.93362193723188702</v>
      </c>
      <c r="I18" s="2">
        <v>315.7</v>
      </c>
      <c r="J18" s="2">
        <v>9.8083663884364594</v>
      </c>
      <c r="K18" s="2">
        <v>14.2078786581926</v>
      </c>
      <c r="L18" s="2">
        <v>5.4088541186803303</v>
      </c>
    </row>
    <row r="19" spans="1:12" x14ac:dyDescent="0.2">
      <c r="A19" s="2">
        <v>297.66000000000003</v>
      </c>
      <c r="B19" s="2">
        <v>3.91256578661286</v>
      </c>
      <c r="C19" s="2">
        <v>8.1367445036782708</v>
      </c>
      <c r="D19" s="2">
        <v>-0.31161293045254501</v>
      </c>
      <c r="E19" s="2">
        <v>315.7</v>
      </c>
      <c r="F19" s="2">
        <v>1.7609811029096401</v>
      </c>
      <c r="G19" s="2">
        <v>2.60528805656114</v>
      </c>
      <c r="H19" s="2">
        <v>0.91667414925814406</v>
      </c>
      <c r="I19" s="2">
        <v>333.74</v>
      </c>
      <c r="J19" s="2">
        <v>9.6969427026187702</v>
      </c>
      <c r="K19" s="2">
        <v>14.2976236761391</v>
      </c>
      <c r="L19" s="2">
        <v>5.09626172909842</v>
      </c>
    </row>
    <row r="20" spans="1:12" x14ac:dyDescent="0.2">
      <c r="A20" s="2">
        <v>315.7</v>
      </c>
      <c r="B20" s="2">
        <v>3.8158835770828299</v>
      </c>
      <c r="C20" s="2">
        <v>8.0810950775833295</v>
      </c>
      <c r="D20" s="2">
        <v>-0.44932792341767602</v>
      </c>
      <c r="E20" s="2">
        <v>333.74</v>
      </c>
      <c r="F20" s="2">
        <v>1.7700969669823099</v>
      </c>
      <c r="G20" s="2">
        <v>2.6600362913223901</v>
      </c>
      <c r="H20" s="2">
        <v>0.88015764264222895</v>
      </c>
      <c r="I20" s="2">
        <v>351.78</v>
      </c>
      <c r="J20" s="2">
        <v>9.5890969259193195</v>
      </c>
      <c r="K20" s="2">
        <v>14.2133738563509</v>
      </c>
      <c r="L20" s="2">
        <v>4.9648199954877397</v>
      </c>
    </row>
    <row r="21" spans="1:12" x14ac:dyDescent="0.2">
      <c r="A21" s="2">
        <v>333.74</v>
      </c>
      <c r="B21" s="2">
        <v>3.72088301220177</v>
      </c>
      <c r="C21" s="2">
        <v>8.1048641341966103</v>
      </c>
      <c r="D21" s="2">
        <v>-0.66309810979307404</v>
      </c>
      <c r="E21" s="2">
        <v>351.78</v>
      </c>
      <c r="F21" s="2">
        <v>1.77893677610046</v>
      </c>
      <c r="G21" s="2">
        <v>2.69610504059672</v>
      </c>
      <c r="H21" s="2">
        <v>0.86176851160419199</v>
      </c>
      <c r="I21" s="2">
        <v>369.82</v>
      </c>
      <c r="J21" s="2">
        <v>9.4848290583381001</v>
      </c>
      <c r="K21" s="2">
        <v>14.134771845592599</v>
      </c>
      <c r="L21" s="2">
        <v>4.8348862710836302</v>
      </c>
    </row>
    <row r="22" spans="1:12" x14ac:dyDescent="0.2">
      <c r="A22" s="2">
        <v>351.78</v>
      </c>
      <c r="B22" s="2">
        <v>3.6275640919696799</v>
      </c>
      <c r="C22" s="2">
        <v>8.0082707847756502</v>
      </c>
      <c r="D22" s="2">
        <v>-0.75314260083628404</v>
      </c>
      <c r="E22" s="2">
        <v>369.82</v>
      </c>
      <c r="F22" s="2">
        <v>1.7875005302640801</v>
      </c>
      <c r="G22" s="2">
        <v>2.7033364191262299</v>
      </c>
      <c r="H22" s="2">
        <v>0.87166464140193201</v>
      </c>
      <c r="I22" s="2">
        <v>387.86</v>
      </c>
      <c r="J22" s="2">
        <v>9.3841390998751208</v>
      </c>
      <c r="K22" s="2">
        <v>14.106018071264</v>
      </c>
      <c r="L22" s="2">
        <v>4.6622601284862899</v>
      </c>
    </row>
    <row r="23" spans="1:12" x14ac:dyDescent="0.2">
      <c r="A23" s="2">
        <v>369.82</v>
      </c>
      <c r="B23" s="2">
        <v>3.5359268163865698</v>
      </c>
      <c r="C23" s="2">
        <v>7.8749345179128296</v>
      </c>
      <c r="D23" s="2">
        <v>-0.803080885139699</v>
      </c>
      <c r="E23" s="2">
        <v>387.86</v>
      </c>
      <c r="F23" s="2">
        <v>1.7957882294731899</v>
      </c>
      <c r="G23" s="2">
        <v>2.74904056885994</v>
      </c>
      <c r="H23" s="2">
        <v>0.84253589008643903</v>
      </c>
      <c r="I23" s="2">
        <v>423.94</v>
      </c>
      <c r="J23" s="2">
        <v>9.1934929103038705</v>
      </c>
      <c r="K23" s="2">
        <v>14.109117875849201</v>
      </c>
      <c r="L23" s="2">
        <v>4.2778679447585803</v>
      </c>
    </row>
    <row r="24" spans="1:12" x14ac:dyDescent="0.2">
      <c r="A24" s="2">
        <v>387.86</v>
      </c>
      <c r="B24" s="2">
        <v>3.44597118545243</v>
      </c>
      <c r="C24" s="2">
        <v>7.82020482944636</v>
      </c>
      <c r="D24" s="2">
        <v>-0.92826245854151102</v>
      </c>
      <c r="E24" s="2">
        <v>423.94</v>
      </c>
      <c r="F24" s="2">
        <v>1.81153546302784</v>
      </c>
      <c r="G24" s="2">
        <v>2.81152375432479</v>
      </c>
      <c r="H24" s="2">
        <v>0.81154717173088597</v>
      </c>
      <c r="I24" s="2">
        <v>431.18299999999999</v>
      </c>
      <c r="J24" s="2">
        <v>9.1569459021198902</v>
      </c>
      <c r="K24" s="2">
        <v>14.068443014783901</v>
      </c>
      <c r="L24" s="2">
        <v>4.2454487894558497</v>
      </c>
    </row>
    <row r="25" spans="1:12" x14ac:dyDescent="0.2">
      <c r="A25" s="2">
        <v>423.94</v>
      </c>
      <c r="B25" s="2">
        <v>3.2711048575310699</v>
      </c>
      <c r="C25" s="2">
        <v>7.6399972061833097</v>
      </c>
      <c r="D25" s="2">
        <v>-1.09778749112118</v>
      </c>
      <c r="E25" s="2">
        <v>441.98</v>
      </c>
      <c r="F25" s="2">
        <v>1.8189949973733801</v>
      </c>
      <c r="G25" s="2">
        <v>2.8577466588295102</v>
      </c>
      <c r="H25" s="2">
        <v>0.78024333591725503</v>
      </c>
      <c r="I25" s="2">
        <v>441.98</v>
      </c>
      <c r="J25" s="2">
        <v>9.1035366791955905</v>
      </c>
      <c r="K25" s="2">
        <v>14.0972800736868</v>
      </c>
      <c r="L25" s="2">
        <v>4.1097932847043603</v>
      </c>
    </row>
    <row r="26" spans="1:12" x14ac:dyDescent="0.2">
      <c r="A26" s="2">
        <v>441.98</v>
      </c>
      <c r="B26" s="2">
        <v>3.1861941605438502</v>
      </c>
      <c r="C26" s="2">
        <v>7.5532267718451296</v>
      </c>
      <c r="D26" s="2">
        <v>-1.1808384507574401</v>
      </c>
      <c r="E26" s="2">
        <v>478.06</v>
      </c>
      <c r="F26" s="2">
        <v>1.83308590120091</v>
      </c>
      <c r="G26" s="2">
        <v>2.9814684649370902</v>
      </c>
      <c r="H26" s="2">
        <v>0.684703337464732</v>
      </c>
      <c r="I26" s="2">
        <v>478.06</v>
      </c>
      <c r="J26" s="2">
        <v>8.93435794433376</v>
      </c>
      <c r="K26" s="2">
        <v>14.310195944333801</v>
      </c>
      <c r="L26" s="2">
        <v>3.5585199443337601</v>
      </c>
    </row>
    <row r="27" spans="1:12" x14ac:dyDescent="0.2">
      <c r="A27" s="2">
        <v>478.06</v>
      </c>
      <c r="B27" s="2">
        <v>3.0214177005163299</v>
      </c>
      <c r="C27" s="2">
        <v>7.6643134704528801</v>
      </c>
      <c r="D27" s="2">
        <v>-1.62147806942023</v>
      </c>
      <c r="E27" s="2">
        <v>514.14</v>
      </c>
      <c r="F27" s="2">
        <v>1.8460725852103601</v>
      </c>
      <c r="G27" s="2">
        <v>3.0762873559751598</v>
      </c>
      <c r="H27" s="2">
        <v>0.61585781444556198</v>
      </c>
      <c r="I27" s="2">
        <v>550.22</v>
      </c>
      <c r="J27" s="2">
        <v>8.63893538402891</v>
      </c>
      <c r="K27" s="2">
        <v>14.6821397949059</v>
      </c>
      <c r="L27" s="2">
        <v>2.5957309731519098</v>
      </c>
    </row>
    <row r="28" spans="1:12" x14ac:dyDescent="0.2">
      <c r="A28" s="2">
        <v>514.14</v>
      </c>
      <c r="B28" s="2">
        <v>2.8633678190846998</v>
      </c>
      <c r="C28" s="2">
        <v>7.6016262780969699</v>
      </c>
      <c r="D28" s="2">
        <v>-1.87489063992756</v>
      </c>
      <c r="E28" s="2">
        <v>568.26</v>
      </c>
      <c r="F28" s="2">
        <v>1.8634821990656301</v>
      </c>
      <c r="G28" s="2">
        <v>3.2311300017452198</v>
      </c>
      <c r="H28" s="2">
        <v>0.49583439638603599</v>
      </c>
      <c r="I28" s="2">
        <v>568.26</v>
      </c>
      <c r="J28" s="2">
        <v>8.57402451674829</v>
      </c>
      <c r="K28" s="2">
        <v>14.759920334464301</v>
      </c>
      <c r="L28" s="2">
        <v>2.3881286990322899</v>
      </c>
    </row>
    <row r="29" spans="1:12" x14ac:dyDescent="0.2">
      <c r="A29" s="2">
        <v>550.22</v>
      </c>
      <c r="B29" s="2">
        <v>2.7120445162489699</v>
      </c>
      <c r="C29" s="2">
        <v>7.6116342193539301</v>
      </c>
      <c r="D29" s="2">
        <v>-2.1875451868559899</v>
      </c>
      <c r="E29" s="2">
        <v>676.5</v>
      </c>
      <c r="F29" s="2">
        <v>1.8908479430041101</v>
      </c>
      <c r="G29" s="2">
        <v>3.5163835202021998</v>
      </c>
      <c r="H29" s="2">
        <v>0.26531236580602302</v>
      </c>
      <c r="I29" s="2">
        <v>676.5</v>
      </c>
      <c r="J29" s="2">
        <v>8.2596954045475197</v>
      </c>
      <c r="K29" s="2">
        <v>15.3905615342653</v>
      </c>
      <c r="L29" s="2">
        <v>1.1288292748297799</v>
      </c>
    </row>
    <row r="30" spans="1:12" x14ac:dyDescent="0.2">
      <c r="A30" s="2">
        <v>581.00800000000004</v>
      </c>
      <c r="B30" s="2">
        <v>2.5882354283695101</v>
      </c>
      <c r="C30" s="2">
        <v>7.6671207249212596</v>
      </c>
      <c r="D30" s="2">
        <v>-2.4906498681822402</v>
      </c>
      <c r="E30" s="2">
        <v>748.66</v>
      </c>
      <c r="F30" s="2">
        <v>1.90357067320603</v>
      </c>
      <c r="G30" s="2">
        <v>3.36296568778425</v>
      </c>
      <c r="H30" s="2">
        <v>0.444175658627805</v>
      </c>
      <c r="I30" s="2">
        <v>748.66</v>
      </c>
      <c r="J30" s="2">
        <v>8.1217008454450603</v>
      </c>
      <c r="K30" s="2">
        <v>14.741487305141799</v>
      </c>
      <c r="L30" s="2">
        <v>1.50191438574828</v>
      </c>
    </row>
    <row r="31" spans="1:12" x14ac:dyDescent="0.2">
      <c r="A31" s="2">
        <v>748.66</v>
      </c>
      <c r="B31" s="2">
        <v>2.0000039430540402</v>
      </c>
      <c r="C31" s="2">
        <v>6.5464948024770298</v>
      </c>
      <c r="D31" s="2">
        <v>-2.5464869163689499</v>
      </c>
      <c r="E31" s="2">
        <v>766.7</v>
      </c>
      <c r="F31" s="2">
        <v>1.9060612183701999</v>
      </c>
      <c r="G31" s="2">
        <v>3.3652717394065399</v>
      </c>
      <c r="H31" s="2">
        <v>0.44685069733386701</v>
      </c>
      <c r="I31" s="2">
        <v>766.7</v>
      </c>
      <c r="J31" s="2">
        <v>8.0961469784650397</v>
      </c>
      <c r="K31" s="2">
        <v>14.6722098087806</v>
      </c>
      <c r="L31" s="2">
        <v>1.52008414814947</v>
      </c>
    </row>
    <row r="32" spans="1:12" x14ac:dyDescent="0.2">
      <c r="A32" s="2">
        <v>766.7</v>
      </c>
      <c r="B32" s="2">
        <v>1.94536284974834</v>
      </c>
      <c r="C32" s="2">
        <v>6.43968582896483</v>
      </c>
      <c r="D32" s="2">
        <v>-2.5489601294681501</v>
      </c>
      <c r="E32" s="2">
        <v>838.86</v>
      </c>
      <c r="F32" s="2">
        <v>1.9132628494817101</v>
      </c>
      <c r="G32" s="2">
        <v>3.57312221828724</v>
      </c>
      <c r="H32" s="2">
        <v>0.25340348067618601</v>
      </c>
      <c r="I32" s="2">
        <v>838.86</v>
      </c>
      <c r="J32" s="2">
        <v>8.0297106017273006</v>
      </c>
      <c r="K32" s="2">
        <v>15.4548733071304</v>
      </c>
      <c r="L32" s="2">
        <v>0.60454789632421302</v>
      </c>
    </row>
    <row r="33" spans="1:12" x14ac:dyDescent="0.2">
      <c r="A33" s="2">
        <v>838.86</v>
      </c>
      <c r="B33" s="2">
        <v>1.74361492301528</v>
      </c>
      <c r="C33" s="2">
        <v>6.5901544201024098</v>
      </c>
      <c r="D33" s="2">
        <v>-3.1029245740718401</v>
      </c>
      <c r="E33" s="2">
        <v>856.9</v>
      </c>
      <c r="F33" s="2">
        <v>1.9143731198732901</v>
      </c>
      <c r="G33" s="2">
        <v>3.6349343862195802</v>
      </c>
      <c r="H33" s="2">
        <v>0.193811853527002</v>
      </c>
      <c r="I33" s="2">
        <v>856.9</v>
      </c>
      <c r="J33" s="2">
        <v>8.0220462803384507</v>
      </c>
      <c r="K33" s="2">
        <v>15.711556603971101</v>
      </c>
      <c r="L33" s="2">
        <v>0.33253595670575897</v>
      </c>
    </row>
    <row r="34" spans="1:12" x14ac:dyDescent="0.2">
      <c r="A34" s="2">
        <v>856.9</v>
      </c>
      <c r="B34" s="2">
        <v>1.6973820529544501</v>
      </c>
      <c r="C34" s="2">
        <v>6.6847990529544496</v>
      </c>
      <c r="D34" s="2">
        <v>-3.2900349470455499</v>
      </c>
      <c r="E34" s="2">
        <v>1091.42</v>
      </c>
      <c r="F34" s="2">
        <v>1.90368563410242</v>
      </c>
      <c r="G34" s="2">
        <v>3.84724397380436</v>
      </c>
      <c r="H34" s="2">
        <v>-3.9872705599513399E-2</v>
      </c>
      <c r="I34" s="2">
        <v>1091.42</v>
      </c>
      <c r="J34" s="2">
        <v>8.2479998320429395</v>
      </c>
      <c r="K34" s="2">
        <v>16.852470240172199</v>
      </c>
      <c r="L34" s="2">
        <v>-0.35647057608635901</v>
      </c>
    </row>
    <row r="35" spans="1:12" x14ac:dyDescent="0.2">
      <c r="A35" s="2">
        <v>1091.42</v>
      </c>
      <c r="B35" s="2">
        <v>1.2493844052202201</v>
      </c>
      <c r="C35" s="2">
        <v>7.2171261003992297</v>
      </c>
      <c r="D35" s="2">
        <v>-4.7183572899587896</v>
      </c>
      <c r="E35" s="2">
        <v>1343.98</v>
      </c>
      <c r="F35" s="2">
        <v>1.8400016476371399</v>
      </c>
      <c r="G35" s="2">
        <v>3.9681995201171301</v>
      </c>
      <c r="H35" s="2">
        <v>-0.28819622484284602</v>
      </c>
      <c r="I35" s="2">
        <v>1343.98</v>
      </c>
      <c r="J35" s="2">
        <v>9.1675592495328502</v>
      </c>
      <c r="K35" s="2">
        <v>18.985580599458999</v>
      </c>
      <c r="L35" s="2">
        <v>-0.650462100393295</v>
      </c>
    </row>
    <row r="36" spans="1:12" x14ac:dyDescent="0.2">
      <c r="A36" s="2">
        <v>1343.98</v>
      </c>
      <c r="B36" s="2">
        <v>1.08475623862395</v>
      </c>
      <c r="C36" s="2">
        <v>8.55065914204223</v>
      </c>
      <c r="D36" s="2">
        <v>-6.3811466647943096</v>
      </c>
      <c r="E36" s="2">
        <v>1596.54</v>
      </c>
      <c r="F36" s="2">
        <v>1.7222108900858599</v>
      </c>
      <c r="G36" s="2">
        <v>3.0946113611858599</v>
      </c>
      <c r="H36" s="2">
        <v>0.34981041898586401</v>
      </c>
      <c r="I36" s="2">
        <v>1596.54</v>
      </c>
      <c r="J36" s="2">
        <v>10.788388854197001</v>
      </c>
      <c r="K36" s="2">
        <v>19.442176854197001</v>
      </c>
      <c r="L36" s="2">
        <v>2.1346008541970098</v>
      </c>
    </row>
    <row r="37" spans="1:12" x14ac:dyDescent="0.2">
      <c r="A37" s="2">
        <v>1596.54</v>
      </c>
      <c r="B37" s="2">
        <v>1.2497304232264701</v>
      </c>
      <c r="C37" s="2">
        <v>7.4191364232264698</v>
      </c>
      <c r="D37" s="2">
        <v>-4.9196755767735301</v>
      </c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581-3F83-4540-AA9C-E7888E93B693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1398.6</v>
      </c>
      <c r="B2" s="2">
        <v>7.0440844433268301</v>
      </c>
      <c r="C2" s="2">
        <v>10.702871120771499</v>
      </c>
      <c r="D2" s="2">
        <v>3.3852977658821799</v>
      </c>
      <c r="E2" s="2">
        <v>1150.848</v>
      </c>
      <c r="F2" s="2">
        <v>1.4611882794440101</v>
      </c>
      <c r="G2" s="2">
        <v>1.86576876514401</v>
      </c>
      <c r="H2" s="2">
        <v>1.0566077937440099</v>
      </c>
      <c r="I2" s="2">
        <v>1398.6</v>
      </c>
      <c r="J2" s="2">
        <v>14.993366498318199</v>
      </c>
      <c r="K2" s="2">
        <v>17.221635259915399</v>
      </c>
      <c r="L2" s="2">
        <v>12.765097736721099</v>
      </c>
      <c r="N2">
        <f>MIN(J:J)</f>
        <v>10.6123086110548</v>
      </c>
    </row>
    <row r="3" spans="1:14" x14ac:dyDescent="0.2">
      <c r="A3" s="2">
        <v>1798.2</v>
      </c>
      <c r="B3" s="2">
        <v>6.9472519578728003</v>
      </c>
      <c r="C3" s="2">
        <v>10.4157630082723</v>
      </c>
      <c r="D3" s="2">
        <v>3.4787409074733402</v>
      </c>
      <c r="E3" s="2">
        <v>1398.6</v>
      </c>
      <c r="F3" s="2">
        <v>1.47536525601991</v>
      </c>
      <c r="G3" s="2">
        <v>1.84380467781743</v>
      </c>
      <c r="H3" s="2">
        <v>1.10692583422239</v>
      </c>
      <c r="I3" s="2">
        <v>2197.8000000000002</v>
      </c>
      <c r="J3" s="2">
        <v>14.619130803868099</v>
      </c>
      <c r="K3" s="2">
        <v>16.300079285277501</v>
      </c>
      <c r="L3" s="2">
        <v>12.9381823224586</v>
      </c>
      <c r="N3">
        <f>MAX(J:J)</f>
        <v>14.993366498318199</v>
      </c>
    </row>
    <row r="4" spans="1:14" x14ac:dyDescent="0.2">
      <c r="A4" s="2">
        <v>2197.8000000000002</v>
      </c>
      <c r="B4" s="2">
        <v>6.8527334314512496</v>
      </c>
      <c r="C4" s="2">
        <v>10.0455737249598</v>
      </c>
      <c r="D4" s="2">
        <v>3.65989313794267</v>
      </c>
      <c r="E4" s="2">
        <v>1798.2</v>
      </c>
      <c r="F4" s="2">
        <v>1.4978273869923699</v>
      </c>
      <c r="G4" s="2">
        <v>1.8312594542018099</v>
      </c>
      <c r="H4" s="2">
        <v>1.16439531978293</v>
      </c>
      <c r="I4" s="2">
        <v>2597.4</v>
      </c>
      <c r="J4" s="2">
        <v>14.4382664101992</v>
      </c>
      <c r="K4" s="2">
        <v>15.9218956414316</v>
      </c>
      <c r="L4" s="2">
        <v>12.9546371789669</v>
      </c>
    </row>
    <row r="5" spans="1:14" x14ac:dyDescent="0.2">
      <c r="A5" s="2">
        <v>2597.4</v>
      </c>
      <c r="B5" s="2">
        <v>6.7605288640622003</v>
      </c>
      <c r="C5" s="2">
        <v>9.6805486834820407</v>
      </c>
      <c r="D5" s="2">
        <v>3.8405090446423502</v>
      </c>
      <c r="E5" s="2">
        <v>2197.8000000000002</v>
      </c>
      <c r="F5" s="2">
        <v>1.51979080157102</v>
      </c>
      <c r="G5" s="2">
        <v>1.8087041574813201</v>
      </c>
      <c r="H5" s="2">
        <v>1.2308774456607301</v>
      </c>
      <c r="I5" s="2">
        <v>2997</v>
      </c>
      <c r="J5" s="2">
        <v>14.2615709855679</v>
      </c>
      <c r="K5" s="2">
        <v>15.7813221990339</v>
      </c>
      <c r="L5" s="2">
        <v>12.7418197721019</v>
      </c>
    </row>
    <row r="6" spans="1:14" x14ac:dyDescent="0.2">
      <c r="A6" s="2">
        <v>2997</v>
      </c>
      <c r="B6" s="2">
        <v>6.6706382557056401</v>
      </c>
      <c r="C6" s="2">
        <v>9.4077695169875</v>
      </c>
      <c r="D6" s="2">
        <v>3.9335069944237699</v>
      </c>
      <c r="E6" s="2">
        <v>2597.4</v>
      </c>
      <c r="F6" s="2">
        <v>1.5412554997558701</v>
      </c>
      <c r="G6" s="2">
        <v>1.8092902597732099</v>
      </c>
      <c r="H6" s="2">
        <v>1.27322073973853</v>
      </c>
      <c r="I6" s="2">
        <v>3396.6</v>
      </c>
      <c r="J6" s="2">
        <v>14.089044529974</v>
      </c>
      <c r="K6" s="2">
        <v>15.5076657292016</v>
      </c>
      <c r="L6" s="2">
        <v>12.6704233307464</v>
      </c>
    </row>
    <row r="7" spans="1:14" x14ac:dyDescent="0.2">
      <c r="A7" s="2">
        <v>3396.6</v>
      </c>
      <c r="B7" s="2">
        <v>6.5830616063815697</v>
      </c>
      <c r="C7" s="2">
        <v>9.05203716021086</v>
      </c>
      <c r="D7" s="2">
        <v>4.1140860525522802</v>
      </c>
      <c r="E7" s="2">
        <v>2997</v>
      </c>
      <c r="F7" s="2">
        <v>1.56222148154691</v>
      </c>
      <c r="G7" s="2">
        <v>1.8511108544069801</v>
      </c>
      <c r="H7" s="2">
        <v>1.2733321086868401</v>
      </c>
      <c r="I7" s="2">
        <v>3796.2</v>
      </c>
      <c r="J7" s="2">
        <v>13.920687043417599</v>
      </c>
      <c r="K7" s="2">
        <v>15.194410816634001</v>
      </c>
      <c r="L7" s="2">
        <v>12.646963270201301</v>
      </c>
    </row>
    <row r="8" spans="1:14" x14ac:dyDescent="0.2">
      <c r="A8" s="2">
        <v>3796.2</v>
      </c>
      <c r="B8" s="2">
        <v>6.4977989160899901</v>
      </c>
      <c r="C8" s="2">
        <v>8.7296638467028096</v>
      </c>
      <c r="D8" s="2">
        <v>4.2659339854771599</v>
      </c>
      <c r="E8" s="2">
        <v>3396.6</v>
      </c>
      <c r="F8" s="2">
        <v>1.58268874694414</v>
      </c>
      <c r="G8" s="2">
        <v>1.8584214618839201</v>
      </c>
      <c r="H8" s="2">
        <v>1.3069560320043601</v>
      </c>
      <c r="I8" s="2">
        <v>4195.8</v>
      </c>
      <c r="J8" s="2">
        <v>13.756498525898801</v>
      </c>
      <c r="K8" s="2">
        <v>15.0231498934751</v>
      </c>
      <c r="L8" s="2">
        <v>12.4898471583224</v>
      </c>
    </row>
    <row r="9" spans="1:14" x14ac:dyDescent="0.2">
      <c r="A9" s="2">
        <v>4195.8</v>
      </c>
      <c r="B9" s="2">
        <v>6.4148501848309003</v>
      </c>
      <c r="C9" s="2">
        <v>8.4980895827051306</v>
      </c>
      <c r="D9" s="2">
        <v>4.33161078695667</v>
      </c>
      <c r="E9" s="2">
        <v>3796.2</v>
      </c>
      <c r="F9" s="2">
        <v>1.60265729594756</v>
      </c>
      <c r="G9" s="2">
        <v>1.8559951912844399</v>
      </c>
      <c r="H9" s="2">
        <v>1.3493194006106799</v>
      </c>
      <c r="I9" s="2">
        <v>4595.3999999999996</v>
      </c>
      <c r="J9" s="2">
        <v>13.5964789774174</v>
      </c>
      <c r="K9" s="2">
        <v>14.9016012536405</v>
      </c>
      <c r="L9" s="2">
        <v>12.2913567011942</v>
      </c>
    </row>
    <row r="10" spans="1:14" x14ac:dyDescent="0.2">
      <c r="A10" s="2">
        <v>4595.3999999999996</v>
      </c>
      <c r="B10" s="2">
        <v>6.3342154126043004</v>
      </c>
      <c r="C10" s="2">
        <v>8.3278073160782498</v>
      </c>
      <c r="D10" s="2">
        <v>4.34062350913036</v>
      </c>
      <c r="E10" s="2">
        <v>4195.8</v>
      </c>
      <c r="F10" s="2">
        <v>1.6221271285571699</v>
      </c>
      <c r="G10" s="2">
        <v>1.8700439646642999</v>
      </c>
      <c r="H10" s="2">
        <v>1.3742102924500501</v>
      </c>
      <c r="I10" s="2">
        <v>5394.6</v>
      </c>
      <c r="J10" s="2">
        <v>13.288946787566999</v>
      </c>
      <c r="K10" s="2">
        <v>14.3592342771512</v>
      </c>
      <c r="L10" s="2">
        <v>12.2186592979828</v>
      </c>
    </row>
    <row r="11" spans="1:14" x14ac:dyDescent="0.2">
      <c r="A11" s="2">
        <v>4995</v>
      </c>
      <c r="B11" s="2">
        <v>6.2558945994102002</v>
      </c>
      <c r="C11" s="2">
        <v>8.1030322703047997</v>
      </c>
      <c r="D11" s="2">
        <v>4.4087569285155999</v>
      </c>
      <c r="E11" s="2">
        <v>4228.9790000000003</v>
      </c>
      <c r="F11" s="2">
        <v>1.6237212956520899</v>
      </c>
      <c r="G11" s="2">
        <v>1.8807763681393399</v>
      </c>
      <c r="H11" s="2">
        <v>1.3666662231648501</v>
      </c>
      <c r="I11" s="2">
        <v>5794.2</v>
      </c>
      <c r="J11" s="2">
        <v>13.141434146198099</v>
      </c>
      <c r="K11" s="2">
        <v>14.3407671297365</v>
      </c>
      <c r="L11" s="2">
        <v>11.9421011626597</v>
      </c>
    </row>
    <row r="12" spans="1:14" x14ac:dyDescent="0.2">
      <c r="A12" s="2">
        <v>5394.6</v>
      </c>
      <c r="B12" s="2">
        <v>6.1798877452485899</v>
      </c>
      <c r="C12" s="2">
        <v>7.8814801953973799</v>
      </c>
      <c r="D12" s="2">
        <v>4.4782952950997901</v>
      </c>
      <c r="E12" s="2">
        <v>4595.3999999999996</v>
      </c>
      <c r="F12" s="2">
        <v>1.6410982447729801</v>
      </c>
      <c r="G12" s="2">
        <v>1.9102521551653</v>
      </c>
      <c r="H12" s="2">
        <v>1.3719443343806601</v>
      </c>
      <c r="I12" s="2">
        <v>6193.8</v>
      </c>
      <c r="J12" s="2">
        <v>12.998090473866601</v>
      </c>
      <c r="K12" s="2">
        <v>14.281729702913999</v>
      </c>
      <c r="L12" s="2">
        <v>11.714451244819299</v>
      </c>
    </row>
    <row r="13" spans="1:14" x14ac:dyDescent="0.2">
      <c r="A13" s="2">
        <v>5794.2</v>
      </c>
      <c r="B13" s="2">
        <v>6.1061948501194703</v>
      </c>
      <c r="C13" s="2">
        <v>7.8071476201496104</v>
      </c>
      <c r="D13" s="2">
        <v>4.4052420800893302</v>
      </c>
      <c r="E13" s="2">
        <v>4855.4229999999998</v>
      </c>
      <c r="F13" s="2">
        <v>1.65317506284793</v>
      </c>
      <c r="G13" s="2">
        <v>1.9065170612245601</v>
      </c>
      <c r="H13" s="2">
        <v>1.39983306447129</v>
      </c>
      <c r="I13" s="2">
        <v>6593.4</v>
      </c>
      <c r="J13" s="2">
        <v>12.8589157705727</v>
      </c>
      <c r="K13" s="2">
        <v>14.315085543214201</v>
      </c>
      <c r="L13" s="2">
        <v>11.4027459979312</v>
      </c>
    </row>
    <row r="14" spans="1:14" x14ac:dyDescent="0.2">
      <c r="A14" s="2">
        <v>6193.8</v>
      </c>
      <c r="B14" s="2">
        <v>6.0348159140228397</v>
      </c>
      <c r="C14" s="2">
        <v>7.6780689140228402</v>
      </c>
      <c r="D14" s="2">
        <v>4.39156291402284</v>
      </c>
      <c r="E14" s="2">
        <v>5394.6</v>
      </c>
      <c r="F14" s="2">
        <v>1.6775443280231599</v>
      </c>
      <c r="G14" s="2">
        <v>1.91686831725728</v>
      </c>
      <c r="H14" s="2">
        <v>1.43822033878904</v>
      </c>
      <c r="I14" s="2">
        <v>6993</v>
      </c>
      <c r="J14" s="2">
        <v>12.7239100363162</v>
      </c>
      <c r="K14" s="2">
        <v>14.440243302912</v>
      </c>
      <c r="L14" s="2">
        <v>11.007576769720499</v>
      </c>
    </row>
    <row r="15" spans="1:14" x14ac:dyDescent="0.2">
      <c r="A15" s="2">
        <v>6593.4</v>
      </c>
      <c r="B15" s="2">
        <v>5.9657509369586998</v>
      </c>
      <c r="C15" s="2">
        <v>7.5807027987090203</v>
      </c>
      <c r="D15" s="2">
        <v>4.3507990752083803</v>
      </c>
      <c r="E15" s="2">
        <v>5794.2</v>
      </c>
      <c r="F15" s="2">
        <v>1.69501929505754</v>
      </c>
      <c r="G15" s="2">
        <v>1.9559825521673599</v>
      </c>
      <c r="H15" s="2">
        <v>1.4340560379477301</v>
      </c>
      <c r="I15" s="2">
        <v>7392.6</v>
      </c>
      <c r="J15" s="2">
        <v>12.5930732710973</v>
      </c>
      <c r="K15" s="2">
        <v>14.569022701538101</v>
      </c>
      <c r="L15" s="2">
        <v>10.617123840656401</v>
      </c>
    </row>
    <row r="16" spans="1:14" x14ac:dyDescent="0.2">
      <c r="A16" s="2">
        <v>6993</v>
      </c>
      <c r="B16" s="2">
        <v>5.8989999189270499</v>
      </c>
      <c r="C16" s="2">
        <v>7.60162110913231</v>
      </c>
      <c r="D16" s="2">
        <v>4.1963787287218004</v>
      </c>
      <c r="E16" s="2">
        <v>6193.8</v>
      </c>
      <c r="F16" s="2">
        <v>1.71199554569811</v>
      </c>
      <c r="G16" s="2">
        <v>2.0233408075708201</v>
      </c>
      <c r="H16" s="2">
        <v>1.4006502838254</v>
      </c>
      <c r="I16" s="2">
        <v>7792.2</v>
      </c>
      <c r="J16" s="2">
        <v>12.466405474915801</v>
      </c>
      <c r="K16" s="2">
        <v>14.438786204701399</v>
      </c>
      <c r="L16" s="2">
        <v>10.494024745130099</v>
      </c>
    </row>
    <row r="17" spans="1:12" x14ac:dyDescent="0.2">
      <c r="A17" s="2">
        <v>7792.2</v>
      </c>
      <c r="B17" s="2">
        <v>5.77243975996124</v>
      </c>
      <c r="C17" s="2">
        <v>7.4791627807258001</v>
      </c>
      <c r="D17" s="2">
        <v>4.0657167391966702</v>
      </c>
      <c r="E17" s="2">
        <v>6553.2790000000005</v>
      </c>
      <c r="F17" s="2">
        <v>1.7268412102447701</v>
      </c>
      <c r="G17" s="2">
        <v>2.0892525303580398</v>
      </c>
      <c r="H17" s="2">
        <v>1.3644298901315099</v>
      </c>
      <c r="I17" s="2">
        <v>8191.8</v>
      </c>
      <c r="J17" s="2">
        <v>12.343906647771799</v>
      </c>
      <c r="K17" s="2">
        <v>14.1822731884248</v>
      </c>
      <c r="L17" s="2">
        <v>10.505540107118801</v>
      </c>
    </row>
    <row r="18" spans="1:12" x14ac:dyDescent="0.2">
      <c r="A18" s="2">
        <v>8191.8</v>
      </c>
      <c r="B18" s="2">
        <v>5.7126306190270704</v>
      </c>
      <c r="C18" s="2">
        <v>7.3063915353784896</v>
      </c>
      <c r="D18" s="2">
        <v>4.1188697026756396</v>
      </c>
      <c r="E18" s="2">
        <v>6593.4</v>
      </c>
      <c r="F18" s="2">
        <v>1.72847307994487</v>
      </c>
      <c r="G18" s="2">
        <v>2.11041446219871</v>
      </c>
      <c r="H18" s="2">
        <v>1.34653169769104</v>
      </c>
      <c r="I18" s="2">
        <v>8591.4</v>
      </c>
      <c r="J18" s="2">
        <v>12.2255767896653</v>
      </c>
      <c r="K18" s="2">
        <v>14.1059596710876</v>
      </c>
      <c r="L18" s="2">
        <v>10.3451939082429</v>
      </c>
    </row>
    <row r="19" spans="1:12" x14ac:dyDescent="0.2">
      <c r="A19" s="2">
        <v>8591.4</v>
      </c>
      <c r="B19" s="2">
        <v>5.6551354371253897</v>
      </c>
      <c r="C19" s="2">
        <v>7.2231640905255201</v>
      </c>
      <c r="D19" s="2">
        <v>4.0871067837252602</v>
      </c>
      <c r="E19" s="2">
        <v>6644.0159999999996</v>
      </c>
      <c r="F19" s="2">
        <v>1.7305246480974501</v>
      </c>
      <c r="G19" s="2">
        <v>2.0747890057987499</v>
      </c>
      <c r="H19" s="2">
        <v>1.3862602903961601</v>
      </c>
      <c r="I19" s="2">
        <v>8991</v>
      </c>
      <c r="J19" s="2">
        <v>12.111415900596301</v>
      </c>
      <c r="K19" s="2">
        <v>13.816039229247901</v>
      </c>
      <c r="L19" s="2">
        <v>10.4067925719446</v>
      </c>
    </row>
    <row r="20" spans="1:12" x14ac:dyDescent="0.2">
      <c r="A20" s="2">
        <v>8991</v>
      </c>
      <c r="B20" s="2">
        <v>5.5999542142561998</v>
      </c>
      <c r="C20" s="2">
        <v>7.1426675174794303</v>
      </c>
      <c r="D20" s="2">
        <v>4.0572409110329701</v>
      </c>
      <c r="E20" s="2">
        <v>6993</v>
      </c>
      <c r="F20" s="2">
        <v>1.7444518977978301</v>
      </c>
      <c r="G20" s="2">
        <v>2.2565169775682601</v>
      </c>
      <c r="H20" s="2">
        <v>1.23238681802739</v>
      </c>
      <c r="I20" s="2">
        <v>9390.6</v>
      </c>
      <c r="J20" s="2">
        <v>12.0014239805647</v>
      </c>
      <c r="K20" s="2">
        <v>13.662251980564699</v>
      </c>
      <c r="L20" s="2">
        <v>10.3405959805647</v>
      </c>
    </row>
    <row r="21" spans="1:12" x14ac:dyDescent="0.2">
      <c r="A21" s="2">
        <v>9390.6</v>
      </c>
      <c r="B21" s="2">
        <v>5.5470869504194997</v>
      </c>
      <c r="C21" s="2">
        <v>7.0356832512705498</v>
      </c>
      <c r="D21" s="2">
        <v>4.0584906495684603</v>
      </c>
      <c r="E21" s="2">
        <v>7392.6</v>
      </c>
      <c r="F21" s="2">
        <v>1.75993199925697</v>
      </c>
      <c r="G21" s="2">
        <v>2.2486278528698902</v>
      </c>
      <c r="H21" s="2">
        <v>1.27123614564405</v>
      </c>
      <c r="I21" s="2">
        <v>9790.2000000000007</v>
      </c>
      <c r="J21" s="2">
        <v>11.895601029570701</v>
      </c>
      <c r="K21" s="2">
        <v>13.4696276981806</v>
      </c>
      <c r="L21" s="2">
        <v>10.3215743609607</v>
      </c>
    </row>
    <row r="22" spans="1:12" x14ac:dyDescent="0.2">
      <c r="A22" s="2">
        <v>9790.2000000000007</v>
      </c>
      <c r="B22" s="2">
        <v>5.4965336456153002</v>
      </c>
      <c r="C22" s="2">
        <v>6.9604667165574998</v>
      </c>
      <c r="D22" s="2">
        <v>4.0326005746730997</v>
      </c>
      <c r="E22" s="2">
        <v>7792.2</v>
      </c>
      <c r="F22" s="2">
        <v>1.7749133843223099</v>
      </c>
      <c r="G22" s="2">
        <v>2.2790723511122999</v>
      </c>
      <c r="H22" s="2">
        <v>1.27075441753232</v>
      </c>
      <c r="I22" s="2">
        <v>10189.799999999999</v>
      </c>
      <c r="J22" s="2">
        <v>11.7939470476141</v>
      </c>
      <c r="K22" s="2">
        <v>13.631832587835399</v>
      </c>
      <c r="L22" s="2">
        <v>9.95606150739291</v>
      </c>
    </row>
    <row r="23" spans="1:12" x14ac:dyDescent="0.2">
      <c r="A23" s="2">
        <v>10189.799999999999</v>
      </c>
      <c r="B23" s="2">
        <v>5.4482942998435897</v>
      </c>
      <c r="C23" s="2">
        <v>7.0347761836843699</v>
      </c>
      <c r="D23" s="2">
        <v>3.8618124160027998</v>
      </c>
      <c r="E23" s="2">
        <v>8024.2910000000002</v>
      </c>
      <c r="F23" s="2">
        <v>1.7833857498577199</v>
      </c>
      <c r="G23" s="2">
        <v>2.3107311051399302</v>
      </c>
      <c r="H23" s="2">
        <v>1.2560403945755201</v>
      </c>
      <c r="I23" s="2">
        <v>10589.4</v>
      </c>
      <c r="J23" s="2">
        <v>11.6964620346951</v>
      </c>
      <c r="K23" s="2">
        <v>13.4052333666147</v>
      </c>
      <c r="L23" s="2">
        <v>9.9876907027754704</v>
      </c>
    </row>
    <row r="24" spans="1:12" x14ac:dyDescent="0.2">
      <c r="A24" s="2">
        <v>10589.4</v>
      </c>
      <c r="B24" s="2">
        <v>5.40236891310437</v>
      </c>
      <c r="C24" s="2">
        <v>7.0243222648512402</v>
      </c>
      <c r="D24" s="2">
        <v>3.7804155613574899</v>
      </c>
      <c r="E24" s="2">
        <v>8191.8</v>
      </c>
      <c r="F24" s="2">
        <v>1.78939605299384</v>
      </c>
      <c r="G24" s="2">
        <v>2.2192353995366298</v>
      </c>
      <c r="H24" s="2">
        <v>1.3595567064510401</v>
      </c>
      <c r="I24" s="2">
        <v>10989</v>
      </c>
      <c r="J24" s="2">
        <v>11.6031459908135</v>
      </c>
      <c r="K24" s="2">
        <v>13.270942166292199</v>
      </c>
      <c r="L24" s="2">
        <v>9.9353498153348099</v>
      </c>
    </row>
    <row r="25" spans="1:12" x14ac:dyDescent="0.2">
      <c r="A25" s="2">
        <v>10989</v>
      </c>
      <c r="B25" s="2">
        <v>5.3587574853976401</v>
      </c>
      <c r="C25" s="2">
        <v>6.9577494229109202</v>
      </c>
      <c r="D25" s="2">
        <v>3.7597655478843501</v>
      </c>
      <c r="E25" s="2">
        <v>8591.4</v>
      </c>
      <c r="F25" s="2">
        <v>1.8033800052715601</v>
      </c>
      <c r="G25" s="2">
        <v>2.2379508571264801</v>
      </c>
      <c r="H25" s="2">
        <v>1.36880915341663</v>
      </c>
      <c r="I25" s="2">
        <v>11388.6</v>
      </c>
      <c r="J25" s="2">
        <v>11.513998915969401</v>
      </c>
      <c r="K25" s="2">
        <v>13.4932496676171</v>
      </c>
      <c r="L25" s="2">
        <v>9.5347481643217105</v>
      </c>
    </row>
    <row r="26" spans="1:12" x14ac:dyDescent="0.2">
      <c r="A26" s="2">
        <v>11388.6</v>
      </c>
      <c r="B26" s="2">
        <v>5.3174600167234001</v>
      </c>
      <c r="C26" s="2">
        <v>7.0127538309061199</v>
      </c>
      <c r="D26" s="2">
        <v>3.6221662025406798</v>
      </c>
      <c r="E26" s="2">
        <v>8991</v>
      </c>
      <c r="F26" s="2">
        <v>1.81686524115547</v>
      </c>
      <c r="G26" s="2">
        <v>2.2561349643853799</v>
      </c>
      <c r="H26" s="2">
        <v>1.3775955179255499</v>
      </c>
      <c r="I26" s="2">
        <v>11788.2</v>
      </c>
      <c r="J26" s="2">
        <v>11.4290208101628</v>
      </c>
      <c r="K26" s="2">
        <v>13.8102361587563</v>
      </c>
      <c r="L26" s="2">
        <v>9.0478054615693608</v>
      </c>
    </row>
    <row r="27" spans="1:12" x14ac:dyDescent="0.2">
      <c r="A27" s="2">
        <v>11788.2</v>
      </c>
      <c r="B27" s="2">
        <v>5.2784765070816499</v>
      </c>
      <c r="C27" s="2">
        <v>7.1611159489278604</v>
      </c>
      <c r="D27" s="2">
        <v>3.3958370652354399</v>
      </c>
      <c r="E27" s="2">
        <v>9390.6</v>
      </c>
      <c r="F27" s="2">
        <v>1.82985176064557</v>
      </c>
      <c r="G27" s="2">
        <v>2.2531395370962302</v>
      </c>
      <c r="H27" s="2">
        <v>1.40656398419491</v>
      </c>
      <c r="I27" s="2">
        <v>12587.4</v>
      </c>
      <c r="J27" s="2">
        <v>11.2715715056621</v>
      </c>
      <c r="K27" s="2">
        <v>13.224326793700101</v>
      </c>
      <c r="L27" s="2">
        <v>9.3188162176241001</v>
      </c>
    </row>
    <row r="28" spans="1:12" x14ac:dyDescent="0.2">
      <c r="A28" s="2">
        <v>12987</v>
      </c>
      <c r="B28" s="2">
        <v>5.1754097323513601</v>
      </c>
      <c r="C28" s="2">
        <v>7.0581933168913897</v>
      </c>
      <c r="D28" s="2">
        <v>3.2926261478113399</v>
      </c>
      <c r="E28" s="2">
        <v>9790.2000000000007</v>
      </c>
      <c r="F28" s="2">
        <v>1.84233956374186</v>
      </c>
      <c r="G28" s="2">
        <v>2.2700454272513499</v>
      </c>
      <c r="H28" s="2">
        <v>1.4146337002323801</v>
      </c>
      <c r="I28" s="2">
        <v>12987</v>
      </c>
      <c r="J28" s="2">
        <v>11.199100306968001</v>
      </c>
      <c r="K28" s="2">
        <v>13.2039309910376</v>
      </c>
      <c r="L28" s="2">
        <v>9.1942696228983092</v>
      </c>
    </row>
    <row r="29" spans="1:12" x14ac:dyDescent="0.2">
      <c r="A29" s="2">
        <v>13386.6</v>
      </c>
      <c r="B29" s="2">
        <v>5.1456820588395802</v>
      </c>
      <c r="C29" s="2">
        <v>7.0397313707848799</v>
      </c>
      <c r="D29" s="2">
        <v>3.2516327468942801</v>
      </c>
      <c r="E29" s="2">
        <v>10189.799999999999</v>
      </c>
      <c r="F29" s="2">
        <v>1.8543286504443499</v>
      </c>
      <c r="G29" s="2">
        <v>2.28642148493305</v>
      </c>
      <c r="H29" s="2">
        <v>1.4222358159556401</v>
      </c>
      <c r="I29" s="2">
        <v>13386.6</v>
      </c>
      <c r="J29" s="2">
        <v>11.130798077311301</v>
      </c>
      <c r="K29" s="2">
        <v>13.054705687789401</v>
      </c>
      <c r="L29" s="2">
        <v>9.2068904668332792</v>
      </c>
    </row>
    <row r="30" spans="1:12" x14ac:dyDescent="0.2">
      <c r="A30" s="2">
        <v>13786.2</v>
      </c>
      <c r="B30" s="2">
        <v>5.1182683443602999</v>
      </c>
      <c r="C30" s="2">
        <v>6.9319886306049998</v>
      </c>
      <c r="D30" s="2">
        <v>3.3045480581155902</v>
      </c>
      <c r="E30" s="2">
        <v>10589.4</v>
      </c>
      <c r="F30" s="2">
        <v>1.8658190207530301</v>
      </c>
      <c r="G30" s="2">
        <v>2.3129128001264401</v>
      </c>
      <c r="H30" s="2">
        <v>1.4187252413796201</v>
      </c>
      <c r="I30" s="2">
        <v>13786.2</v>
      </c>
      <c r="J30" s="2">
        <v>11.066664816692199</v>
      </c>
      <c r="K30" s="2">
        <v>12.729871627299501</v>
      </c>
      <c r="L30" s="2">
        <v>9.4034580060848398</v>
      </c>
    </row>
    <row r="31" spans="1:12" x14ac:dyDescent="0.2">
      <c r="A31" s="2">
        <v>14185.8</v>
      </c>
      <c r="B31" s="2">
        <v>5.0931685889134997</v>
      </c>
      <c r="C31" s="2">
        <v>6.8569193164581499</v>
      </c>
      <c r="D31" s="2">
        <v>3.3294178613688499</v>
      </c>
      <c r="E31" s="2">
        <v>10989</v>
      </c>
      <c r="F31" s="2">
        <v>1.8768106746679001</v>
      </c>
      <c r="G31" s="2">
        <v>2.3175841028762498</v>
      </c>
      <c r="H31" s="2">
        <v>1.4360372464595399</v>
      </c>
      <c r="I31" s="2">
        <v>14185.8</v>
      </c>
      <c r="J31" s="2">
        <v>11.006700525110499</v>
      </c>
      <c r="K31" s="2">
        <v>12.4976499923437</v>
      </c>
      <c r="L31" s="2">
        <v>9.5157510578774094</v>
      </c>
    </row>
    <row r="32" spans="1:12" x14ac:dyDescent="0.2">
      <c r="A32" s="2">
        <v>14585.4</v>
      </c>
      <c r="B32" s="2">
        <v>5.0703827924992</v>
      </c>
      <c r="C32" s="2">
        <v>6.9396889550213299</v>
      </c>
      <c r="D32" s="2">
        <v>3.2010766299770599</v>
      </c>
      <c r="E32" s="2">
        <v>11388.6</v>
      </c>
      <c r="F32" s="2">
        <v>1.8873036121889599</v>
      </c>
      <c r="G32" s="2">
        <v>2.3757918388400499</v>
      </c>
      <c r="H32" s="2">
        <v>1.39881538553786</v>
      </c>
      <c r="I32" s="2">
        <v>14585.4</v>
      </c>
      <c r="J32" s="2">
        <v>10.9509052025664</v>
      </c>
      <c r="K32" s="2">
        <v>12.404610541608699</v>
      </c>
      <c r="L32" s="2">
        <v>9.4971998635239991</v>
      </c>
    </row>
    <row r="33" spans="1:12" x14ac:dyDescent="0.2">
      <c r="A33" s="2">
        <v>14958.481</v>
      </c>
      <c r="B33" s="2">
        <v>5.0511978592410403</v>
      </c>
      <c r="C33" s="2">
        <v>6.9956593126236601</v>
      </c>
      <c r="D33" s="2">
        <v>3.1067364058584199</v>
      </c>
      <c r="E33" s="2">
        <v>11788.2</v>
      </c>
      <c r="F33" s="2">
        <v>1.89729783331621</v>
      </c>
      <c r="G33" s="2">
        <v>2.5110162534659199</v>
      </c>
      <c r="H33" s="2">
        <v>1.2835794131664999</v>
      </c>
      <c r="I33" s="2">
        <v>14985</v>
      </c>
      <c r="J33" s="2">
        <v>10.8992788490597</v>
      </c>
      <c r="K33" s="2">
        <v>12.361536458643201</v>
      </c>
      <c r="L33" s="2">
        <v>9.4370212394761399</v>
      </c>
    </row>
    <row r="34" spans="1:12" x14ac:dyDescent="0.2">
      <c r="A34" s="2">
        <v>14985</v>
      </c>
      <c r="B34" s="2">
        <v>5.0499109551173804</v>
      </c>
      <c r="C34" s="2">
        <v>6.9639289553811903</v>
      </c>
      <c r="D34" s="2">
        <v>3.1358929548535701</v>
      </c>
      <c r="E34" s="2">
        <v>12587.4</v>
      </c>
      <c r="F34" s="2">
        <v>1.91579012638929</v>
      </c>
      <c r="G34" s="2">
        <v>2.4070460726934</v>
      </c>
      <c r="H34" s="2">
        <v>1.4245341800851701</v>
      </c>
      <c r="I34" s="2">
        <v>15384.6</v>
      </c>
      <c r="J34" s="2">
        <v>10.8518214645905</v>
      </c>
      <c r="K34" s="2">
        <v>12.185301269814</v>
      </c>
      <c r="L34" s="2">
        <v>9.5183416593669694</v>
      </c>
    </row>
    <row r="35" spans="1:12" x14ac:dyDescent="0.2">
      <c r="A35" s="2">
        <v>15384.6</v>
      </c>
      <c r="B35" s="2">
        <v>5.0317530767680596</v>
      </c>
      <c r="C35" s="2">
        <v>6.92833627039811</v>
      </c>
      <c r="D35" s="2">
        <v>3.1351698831380101</v>
      </c>
      <c r="E35" s="2">
        <v>12987</v>
      </c>
      <c r="F35" s="2">
        <v>1.9242881983351099</v>
      </c>
      <c r="G35" s="2">
        <v>2.4425515527562598</v>
      </c>
      <c r="H35" s="2">
        <v>1.40602484391396</v>
      </c>
      <c r="I35" s="2">
        <v>15784.2</v>
      </c>
      <c r="J35" s="2">
        <v>10.8085330491588</v>
      </c>
      <c r="K35" s="2">
        <v>12.1508800522813</v>
      </c>
      <c r="L35" s="2">
        <v>9.4661860460363094</v>
      </c>
    </row>
    <row r="36" spans="1:12" x14ac:dyDescent="0.2">
      <c r="A36" s="2">
        <v>15784.2</v>
      </c>
      <c r="B36" s="2">
        <v>5.0159091574512296</v>
      </c>
      <c r="C36" s="2">
        <v>6.9270429328719496</v>
      </c>
      <c r="D36" s="2">
        <v>3.10477538203051</v>
      </c>
      <c r="E36" s="2">
        <v>13386.6</v>
      </c>
      <c r="F36" s="2">
        <v>1.93228755388713</v>
      </c>
      <c r="G36" s="2">
        <v>2.4210910223907498</v>
      </c>
      <c r="H36" s="2">
        <v>1.44348408538351</v>
      </c>
      <c r="I36" s="2">
        <v>16183.8</v>
      </c>
      <c r="J36" s="2">
        <v>10.769413602764599</v>
      </c>
      <c r="K36" s="2">
        <v>12.1211861551465</v>
      </c>
      <c r="L36" s="2">
        <v>9.41764105038264</v>
      </c>
    </row>
    <row r="37" spans="1:12" x14ac:dyDescent="0.2">
      <c r="A37" s="2">
        <v>16183.8</v>
      </c>
      <c r="B37" s="2">
        <v>5.0023791971668903</v>
      </c>
      <c r="C37" s="2">
        <v>7.0249862186045497</v>
      </c>
      <c r="D37" s="2">
        <v>2.9797721757292299</v>
      </c>
      <c r="E37" s="2">
        <v>13786.2</v>
      </c>
      <c r="F37" s="2">
        <v>1.93978819304534</v>
      </c>
      <c r="G37" s="2">
        <v>2.3640927769387998</v>
      </c>
      <c r="H37" s="2">
        <v>1.51548360915188</v>
      </c>
      <c r="I37" s="2">
        <v>16583.400000000001</v>
      </c>
      <c r="J37" s="2">
        <v>10.734463125407901</v>
      </c>
      <c r="K37" s="2">
        <v>12.284048054685901</v>
      </c>
      <c r="L37" s="2">
        <v>9.1848781961298407</v>
      </c>
    </row>
    <row r="38" spans="1:12" x14ac:dyDescent="0.2">
      <c r="A38" s="2">
        <v>16583.400000000001</v>
      </c>
      <c r="B38" s="2">
        <v>4.99116319591504</v>
      </c>
      <c r="C38" s="2">
        <v>7.1274281745380801</v>
      </c>
      <c r="D38" s="2">
        <v>2.8548982172920101</v>
      </c>
      <c r="E38" s="2">
        <v>14185.8</v>
      </c>
      <c r="F38" s="2">
        <v>1.94679011580974</v>
      </c>
      <c r="G38" s="2">
        <v>2.3169373625633098</v>
      </c>
      <c r="H38" s="2">
        <v>1.57664286905617</v>
      </c>
      <c r="I38" s="2">
        <v>17699.253000000001</v>
      </c>
      <c r="J38" s="2">
        <v>10.658941361353399</v>
      </c>
      <c r="K38" s="2">
        <v>13.252044141294499</v>
      </c>
      <c r="L38" s="2">
        <v>8.0658385814122795</v>
      </c>
    </row>
    <row r="39" spans="1:12" x14ac:dyDescent="0.2">
      <c r="A39" s="2">
        <v>17382.599999999999</v>
      </c>
      <c r="B39" s="2">
        <v>4.9756730705088303</v>
      </c>
      <c r="C39" s="2">
        <v>7.6095617960574797</v>
      </c>
      <c r="D39" s="2">
        <v>2.3417843449601699</v>
      </c>
      <c r="E39" s="2">
        <v>14585.4</v>
      </c>
      <c r="F39" s="2">
        <v>1.9532933221803299</v>
      </c>
      <c r="G39" s="2">
        <v>2.3615946609664999</v>
      </c>
      <c r="H39" s="2">
        <v>1.5449919833941601</v>
      </c>
      <c r="I39" s="2">
        <v>18181.8</v>
      </c>
      <c r="J39" s="2">
        <v>10.636350906355901</v>
      </c>
      <c r="K39" s="2">
        <v>13.1597415819598</v>
      </c>
      <c r="L39" s="2">
        <v>8.11296023075192</v>
      </c>
    </row>
    <row r="40" spans="1:12" x14ac:dyDescent="0.2">
      <c r="A40" s="2">
        <v>18181.8</v>
      </c>
      <c r="B40" s="2">
        <v>4.9694387812325802</v>
      </c>
      <c r="C40" s="2">
        <v>7.7516073488781601</v>
      </c>
      <c r="D40" s="2">
        <v>2.1872702135869901</v>
      </c>
      <c r="E40" s="2">
        <v>14985</v>
      </c>
      <c r="F40" s="2">
        <v>1.9592978121571201</v>
      </c>
      <c r="G40" s="2">
        <v>2.3592617314020901</v>
      </c>
      <c r="H40" s="2">
        <v>1.5593338929121401</v>
      </c>
      <c r="I40" s="2">
        <v>18581.400000000001</v>
      </c>
      <c r="J40" s="2">
        <v>10.6222452741866</v>
      </c>
      <c r="K40" s="2">
        <v>13.0706094578233</v>
      </c>
      <c r="L40" s="2">
        <v>8.17388109054985</v>
      </c>
    </row>
    <row r="41" spans="1:12" x14ac:dyDescent="0.2">
      <c r="A41" s="2">
        <v>18581.400000000001</v>
      </c>
      <c r="B41" s="2">
        <v>4.9697925751431899</v>
      </c>
      <c r="C41" s="2">
        <v>7.7441437904544204</v>
      </c>
      <c r="D41" s="2">
        <v>2.19544135983196</v>
      </c>
      <c r="E41" s="2">
        <v>15384.6</v>
      </c>
      <c r="F41" s="2">
        <v>1.9648035857400901</v>
      </c>
      <c r="G41" s="2">
        <v>2.3087661448932399</v>
      </c>
      <c r="H41" s="2">
        <v>1.62084102658694</v>
      </c>
      <c r="I41" s="2">
        <v>18981</v>
      </c>
      <c r="J41" s="2">
        <v>10.6123086110548</v>
      </c>
      <c r="K41" s="2">
        <v>13.182516619165099</v>
      </c>
      <c r="L41" s="2">
        <v>8.0421006029444602</v>
      </c>
    </row>
    <row r="42" spans="1:12" x14ac:dyDescent="0.2">
      <c r="A42" s="2">
        <v>18981</v>
      </c>
      <c r="B42" s="2">
        <v>4.9724603280862896</v>
      </c>
      <c r="C42" s="2">
        <v>7.90997382259863</v>
      </c>
      <c r="D42" s="2">
        <v>2.03494683357395</v>
      </c>
      <c r="E42" s="2">
        <v>15784.2</v>
      </c>
      <c r="F42" s="2">
        <v>1.9698106429292599</v>
      </c>
      <c r="G42" s="2">
        <v>2.3165680564746198</v>
      </c>
      <c r="H42" s="2">
        <v>1.6230532293839</v>
      </c>
      <c r="I42" s="2">
        <v>20579.400000000001</v>
      </c>
      <c r="J42" s="2">
        <v>10.614251648902499</v>
      </c>
      <c r="K42" s="2">
        <v>14.1134490735231</v>
      </c>
      <c r="L42" s="2">
        <v>7.1150542242819697</v>
      </c>
    </row>
    <row r="43" spans="1:12" x14ac:dyDescent="0.2">
      <c r="A43" s="2">
        <v>20579.400000000001</v>
      </c>
      <c r="B43" s="2">
        <v>5.0062709301836197</v>
      </c>
      <c r="C43" s="2">
        <v>8.5971040689003893</v>
      </c>
      <c r="D43" s="2">
        <v>1.4154377914668499</v>
      </c>
      <c r="E43" s="2">
        <v>16183.8</v>
      </c>
      <c r="F43" s="2">
        <v>1.97431898372462</v>
      </c>
      <c r="G43" s="2">
        <v>2.34795477783151</v>
      </c>
      <c r="H43" s="2">
        <v>1.60068318961773</v>
      </c>
      <c r="I43" s="2">
        <v>21378.6</v>
      </c>
      <c r="J43" s="2">
        <v>10.640236982051301</v>
      </c>
      <c r="K43" s="2">
        <v>14.0585974415844</v>
      </c>
      <c r="L43" s="2">
        <v>7.2218765225182402</v>
      </c>
    </row>
    <row r="44" spans="1:12" x14ac:dyDescent="0.2">
      <c r="A44" s="2">
        <v>21378.6</v>
      </c>
      <c r="B44" s="2">
        <v>5.0370599854272298</v>
      </c>
      <c r="C44" s="2">
        <v>8.6682042471940299</v>
      </c>
      <c r="D44" s="2">
        <v>1.40591572366044</v>
      </c>
      <c r="E44" s="2">
        <v>16583.400000000001</v>
      </c>
      <c r="F44" s="2">
        <v>1.97832860812617</v>
      </c>
      <c r="G44" s="2">
        <v>2.3913478235713002</v>
      </c>
      <c r="H44" s="2">
        <v>1.56530939268104</v>
      </c>
      <c r="I44" s="2">
        <v>22977</v>
      </c>
      <c r="J44" s="2">
        <v>10.7422352767988</v>
      </c>
      <c r="K44" s="2">
        <v>13.455266462791499</v>
      </c>
      <c r="L44" s="2">
        <v>8.0292040908061697</v>
      </c>
    </row>
    <row r="45" spans="1:12" x14ac:dyDescent="0.2">
      <c r="A45" s="2">
        <v>22433.786</v>
      </c>
      <c r="B45" s="2">
        <v>5.09188849896905</v>
      </c>
      <c r="C45" s="2">
        <v>8.6425294260388306</v>
      </c>
      <c r="D45" s="2">
        <v>1.54124757189927</v>
      </c>
      <c r="E45" s="2">
        <v>17382.599999999999</v>
      </c>
      <c r="F45" s="2">
        <v>1.98485170774784</v>
      </c>
      <c r="G45" s="2">
        <v>2.6139397708618302</v>
      </c>
      <c r="H45" s="2">
        <v>1.3557636446338599</v>
      </c>
      <c r="I45" s="2">
        <v>23044.205000000002</v>
      </c>
      <c r="J45" s="2">
        <v>10.7479850516649</v>
      </c>
      <c r="K45" s="2">
        <v>13.4573934983336</v>
      </c>
      <c r="L45" s="2">
        <v>8.0385766049962406</v>
      </c>
    </row>
    <row r="46" spans="1:12" x14ac:dyDescent="0.2">
      <c r="A46" s="2">
        <v>22977</v>
      </c>
      <c r="B46" s="2">
        <v>5.1264056043043604</v>
      </c>
      <c r="C46" s="2">
        <v>8.5211556941027808</v>
      </c>
      <c r="D46" s="2">
        <v>1.73165551450595</v>
      </c>
      <c r="E46" s="2">
        <v>18181.8</v>
      </c>
      <c r="F46" s="2">
        <v>1.9893799417942799</v>
      </c>
      <c r="G46" s="2">
        <v>2.6654308046553998</v>
      </c>
      <c r="H46" s="2">
        <v>1.31332907893317</v>
      </c>
      <c r="I46" s="2">
        <v>26475.921999999999</v>
      </c>
      <c r="J46" s="2">
        <v>11.198333116772</v>
      </c>
      <c r="K46" s="2">
        <v>15.8159058343695</v>
      </c>
      <c r="L46" s="2">
        <v>6.5807603991745598</v>
      </c>
    </row>
    <row r="47" spans="1:12" x14ac:dyDescent="0.2">
      <c r="A47" s="2">
        <v>23776.2</v>
      </c>
      <c r="B47" s="2">
        <v>5.1849621679378801</v>
      </c>
      <c r="C47" s="2">
        <v>9.1491768210735103</v>
      </c>
      <c r="D47" s="2">
        <v>1.22074751480224</v>
      </c>
      <c r="E47" s="2">
        <v>18581.400000000001</v>
      </c>
      <c r="F47" s="2">
        <v>1.9908959842267899</v>
      </c>
      <c r="G47" s="2">
        <v>2.6214220947940698</v>
      </c>
      <c r="H47" s="2">
        <v>1.36036987365951</v>
      </c>
      <c r="I47" s="2">
        <v>27372.6</v>
      </c>
      <c r="J47" s="2">
        <v>11.3666705329473</v>
      </c>
      <c r="K47" s="2">
        <v>14.4619838109972</v>
      </c>
      <c r="L47" s="2">
        <v>8.2713572548973602</v>
      </c>
    </row>
    <row r="48" spans="1:12" x14ac:dyDescent="0.2">
      <c r="A48" s="2">
        <v>27372.6</v>
      </c>
      <c r="B48" s="2">
        <v>5.5630076763970298</v>
      </c>
      <c r="C48" s="2">
        <v>9.1824483109650306</v>
      </c>
      <c r="D48" s="2">
        <v>1.9435670418290201</v>
      </c>
      <c r="E48" s="2">
        <v>18981</v>
      </c>
      <c r="F48" s="2">
        <v>1.99191331026549</v>
      </c>
      <c r="G48" s="2">
        <v>2.6650570390055202</v>
      </c>
      <c r="H48" s="2">
        <v>1.3187695815254601</v>
      </c>
      <c r="I48" s="2">
        <v>28571.4</v>
      </c>
      <c r="J48" s="2">
        <v>11.624519407138701</v>
      </c>
      <c r="K48" s="2">
        <v>14.850848338857</v>
      </c>
      <c r="L48" s="2">
        <v>8.3981904754203196</v>
      </c>
    </row>
    <row r="49" spans="1:12" x14ac:dyDescent="0.2">
      <c r="A49" s="2">
        <v>28571.4</v>
      </c>
      <c r="B49" s="2">
        <v>5.7306741084682598</v>
      </c>
      <c r="C49" s="2">
        <v>9.5316627223713102</v>
      </c>
      <c r="D49" s="2">
        <v>1.92968549456521</v>
      </c>
      <c r="E49" s="2">
        <v>20179.8</v>
      </c>
      <c r="F49" s="2">
        <v>1.99197299001874</v>
      </c>
      <c r="G49" s="2">
        <v>2.8737412351599101</v>
      </c>
      <c r="H49" s="2">
        <v>1.11020474487756</v>
      </c>
      <c r="I49" s="2">
        <v>31768.2</v>
      </c>
      <c r="J49" s="2">
        <v>12.495551042631901</v>
      </c>
      <c r="K49" s="2">
        <v>17.275389622429898</v>
      </c>
      <c r="L49" s="2">
        <v>7.7157124628338298</v>
      </c>
    </row>
    <row r="50" spans="1:12" x14ac:dyDescent="0.2">
      <c r="A50" s="2">
        <v>31768.2</v>
      </c>
      <c r="B50" s="2">
        <v>6.2795987914211802</v>
      </c>
      <c r="C50" s="2">
        <v>10.9463310928949</v>
      </c>
      <c r="D50" s="2">
        <v>1.6128664899474601</v>
      </c>
      <c r="E50" s="2">
        <v>21378.6</v>
      </c>
      <c r="F50" s="2">
        <v>1.98754422222771</v>
      </c>
      <c r="G50" s="2">
        <v>2.91341355274729</v>
      </c>
      <c r="H50" s="2">
        <v>1.06167489170813</v>
      </c>
      <c r="I50" s="2">
        <v>36163.800000000003</v>
      </c>
      <c r="J50" s="2">
        <v>14.1288768058527</v>
      </c>
      <c r="K50" s="2">
        <v>19.723244805852701</v>
      </c>
      <c r="L50" s="2">
        <v>8.5345088058527097</v>
      </c>
    </row>
    <row r="51" spans="1:12" x14ac:dyDescent="0.2">
      <c r="A51" s="2">
        <v>36163.800000000003</v>
      </c>
      <c r="B51" s="2">
        <v>7.2761789493768196</v>
      </c>
      <c r="C51" s="2">
        <v>12.1194509493768</v>
      </c>
      <c r="D51" s="2">
        <v>2.4329069493768198</v>
      </c>
      <c r="E51" s="2">
        <v>22977</v>
      </c>
      <c r="F51" s="2">
        <v>1.9746571689930199</v>
      </c>
      <c r="G51" s="2">
        <v>2.6655092961206899</v>
      </c>
      <c r="H51" s="2">
        <v>1.2838050418653399</v>
      </c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>
        <v>23376.6</v>
      </c>
      <c r="F52" s="2">
        <v>1.97018861469982</v>
      </c>
      <c r="G52" s="2">
        <v>2.76227459365961</v>
      </c>
      <c r="H52" s="2">
        <v>1.1781026357400299</v>
      </c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>
        <v>26573.4</v>
      </c>
      <c r="F53" s="2">
        <v>1.91648639017716</v>
      </c>
      <c r="G53" s="2">
        <v>3.0030311167550501</v>
      </c>
      <c r="H53" s="2">
        <v>0.82994166359927701</v>
      </c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>
        <v>27372.6</v>
      </c>
      <c r="F54" s="2">
        <v>1.89807367010841</v>
      </c>
      <c r="G54" s="2">
        <v>2.6449784441114201</v>
      </c>
      <c r="H54" s="2">
        <v>1.1511688961054101</v>
      </c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>
        <v>28571.4</v>
      </c>
      <c r="F55" s="2">
        <v>1.8667142170517299</v>
      </c>
      <c r="G55" s="2">
        <v>2.6652812012543299</v>
      </c>
      <c r="H55" s="2">
        <v>1.0681472328491199</v>
      </c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>
        <v>33366.6</v>
      </c>
      <c r="F56" s="2">
        <v>1.6963919293822101</v>
      </c>
      <c r="G56" s="2">
        <v>2.5614892560662699</v>
      </c>
      <c r="H56" s="2">
        <v>0.83129460269815503</v>
      </c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>
        <v>36163.800000000003</v>
      </c>
      <c r="F57" s="2">
        <v>1.56387262138673</v>
      </c>
      <c r="G57" s="2">
        <v>2.5237596560867299</v>
      </c>
      <c r="H57" s="2">
        <v>0.60398558668673297</v>
      </c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6F19-8264-8047-8B5B-F3C866C472F5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2741.2080000000001</v>
      </c>
      <c r="B2" s="2">
        <v>6.2487149424735202</v>
      </c>
      <c r="C2" s="2">
        <v>13.011243296992999</v>
      </c>
      <c r="D2" s="2">
        <v>-0.51381341204595499</v>
      </c>
      <c r="E2" s="2">
        <v>2741.2080000000001</v>
      </c>
      <c r="F2" s="2">
        <v>1.2458389658408</v>
      </c>
      <c r="G2" s="2">
        <v>2.1343294442407998</v>
      </c>
      <c r="H2" s="2">
        <v>0.357348487440799</v>
      </c>
      <c r="I2" s="2">
        <v>2741.2080000000001</v>
      </c>
      <c r="J2" s="2">
        <v>12.853574823579899</v>
      </c>
      <c r="K2" s="2">
        <v>22.1192468235799</v>
      </c>
      <c r="L2" s="2">
        <v>3.5879028235798498</v>
      </c>
      <c r="N2">
        <f>MIN(J:J)</f>
        <v>5.3654436279831303</v>
      </c>
    </row>
    <row r="3" spans="1:14" x14ac:dyDescent="0.2">
      <c r="A3" s="2">
        <v>4143.9579999999996</v>
      </c>
      <c r="B3" s="2">
        <v>6.2294538724058199</v>
      </c>
      <c r="C3" s="2">
        <v>12.5035575184548</v>
      </c>
      <c r="D3" s="2">
        <v>-4.4649773643125903E-2</v>
      </c>
      <c r="E3" s="2">
        <v>4143.9579999999996</v>
      </c>
      <c r="F3" s="2">
        <v>1.2578177145446601</v>
      </c>
      <c r="G3" s="2">
        <v>2.0970568725868599</v>
      </c>
      <c r="H3" s="2">
        <v>0.41857855650245201</v>
      </c>
      <c r="I3" s="2">
        <v>4143.9579999999996</v>
      </c>
      <c r="J3" s="2">
        <v>12.776418970556</v>
      </c>
      <c r="K3" s="2">
        <v>21.232191056012699</v>
      </c>
      <c r="L3" s="2">
        <v>4.3206468850992996</v>
      </c>
      <c r="N3">
        <f>MAX(J:J)</f>
        <v>12.853574823579899</v>
      </c>
    </row>
    <row r="4" spans="1:14" x14ac:dyDescent="0.2">
      <c r="A4" s="2">
        <v>5546.71</v>
      </c>
      <c r="B4" s="2">
        <v>6.2089178183126101</v>
      </c>
      <c r="C4" s="2">
        <v>12.387122243097901</v>
      </c>
      <c r="D4" s="2">
        <v>3.0713393527297801E-2</v>
      </c>
      <c r="E4" s="2">
        <v>5546.71</v>
      </c>
      <c r="F4" s="2">
        <v>1.26988228481193</v>
      </c>
      <c r="G4" s="2">
        <v>2.0913245342842202</v>
      </c>
      <c r="H4" s="2">
        <v>0.44844003533965499</v>
      </c>
      <c r="I4" s="2">
        <v>5546.71</v>
      </c>
      <c r="J4" s="2">
        <v>12.699002536812401</v>
      </c>
      <c r="K4" s="2">
        <v>20.7110190771416</v>
      </c>
      <c r="L4" s="2">
        <v>4.6869859964832497</v>
      </c>
    </row>
    <row r="5" spans="1:14" x14ac:dyDescent="0.2">
      <c r="A5" s="2">
        <v>6949.46</v>
      </c>
      <c r="B5" s="2">
        <v>6.18710683875321</v>
      </c>
      <c r="C5" s="2">
        <v>12.2675270710881</v>
      </c>
      <c r="D5" s="2">
        <v>0.10668660641836</v>
      </c>
      <c r="E5" s="2">
        <v>8352.2109999999993</v>
      </c>
      <c r="F5" s="2">
        <v>1.29426881272271</v>
      </c>
      <c r="G5" s="2">
        <v>2.0547254366082401</v>
      </c>
      <c r="H5" s="2">
        <v>0.53381218883718196</v>
      </c>
      <c r="I5" s="2">
        <v>8352.2109999999993</v>
      </c>
      <c r="J5" s="2">
        <v>12.543388423588301</v>
      </c>
      <c r="K5" s="2">
        <v>19.715698337505799</v>
      </c>
      <c r="L5" s="2">
        <v>5.3710785096708102</v>
      </c>
    </row>
    <row r="6" spans="1:14" x14ac:dyDescent="0.2">
      <c r="A6" s="2">
        <v>8352.2109999999993</v>
      </c>
      <c r="B6" s="2">
        <v>6.1640208884447798</v>
      </c>
      <c r="C6" s="2">
        <v>11.9739617893963</v>
      </c>
      <c r="D6" s="2">
        <v>0.35407998749329</v>
      </c>
      <c r="E6" s="2">
        <v>9754.9619999999995</v>
      </c>
      <c r="F6" s="2">
        <v>1.30659078762867</v>
      </c>
      <c r="G6" s="2">
        <v>2.0481862056507398</v>
      </c>
      <c r="H6" s="2">
        <v>0.56499536960659502</v>
      </c>
      <c r="I6" s="2">
        <v>9754.9619999999995</v>
      </c>
      <c r="J6" s="2">
        <v>12.4651906335442</v>
      </c>
      <c r="K6" s="2">
        <v>19.240706262872902</v>
      </c>
      <c r="L6" s="2">
        <v>5.6896750042154398</v>
      </c>
    </row>
    <row r="7" spans="1:14" x14ac:dyDescent="0.2">
      <c r="A7" s="2">
        <v>9754.9619999999995</v>
      </c>
      <c r="B7" s="2">
        <v>6.1396599824816001</v>
      </c>
      <c r="C7" s="2">
        <v>11.780100492729201</v>
      </c>
      <c r="D7" s="2">
        <v>0.49921947223397101</v>
      </c>
      <c r="E7" s="2">
        <v>11157.713</v>
      </c>
      <c r="F7" s="2">
        <v>1.3189985669579201</v>
      </c>
      <c r="G7" s="2">
        <v>2.0497279916296298</v>
      </c>
      <c r="H7" s="2">
        <v>0.58826914228621097</v>
      </c>
      <c r="I7" s="2">
        <v>11157.713</v>
      </c>
      <c r="J7" s="2">
        <v>12.386732372972601</v>
      </c>
      <c r="K7" s="2">
        <v>18.856377965610601</v>
      </c>
      <c r="L7" s="2">
        <v>5.9170867803344702</v>
      </c>
    </row>
    <row r="8" spans="1:14" x14ac:dyDescent="0.2">
      <c r="A8" s="2">
        <v>11157.713</v>
      </c>
      <c r="B8" s="2">
        <v>6.1140241208636796</v>
      </c>
      <c r="C8" s="2">
        <v>11.5689549666613</v>
      </c>
      <c r="D8" s="2">
        <v>0.659093275066025</v>
      </c>
      <c r="E8" s="2">
        <v>12560.464</v>
      </c>
      <c r="F8" s="2">
        <v>1.33149215071048</v>
      </c>
      <c r="G8" s="2">
        <v>2.0428007161622901</v>
      </c>
      <c r="H8" s="2">
        <v>0.62018358525867201</v>
      </c>
      <c r="I8" s="2">
        <v>12560.464</v>
      </c>
      <c r="J8" s="2">
        <v>12.308013641873501</v>
      </c>
      <c r="K8" s="2">
        <v>18.4827401336258</v>
      </c>
      <c r="L8" s="2">
        <v>6.1332871501212098</v>
      </c>
    </row>
    <row r="9" spans="1:14" x14ac:dyDescent="0.2">
      <c r="A9" s="2">
        <v>11444.638999999999</v>
      </c>
      <c r="B9" s="2">
        <v>6.1086233638182499</v>
      </c>
      <c r="C9" s="2">
        <v>11.5605106226693</v>
      </c>
      <c r="D9" s="2">
        <v>0.65673610496724</v>
      </c>
      <c r="E9" s="2">
        <v>13963.214</v>
      </c>
      <c r="F9" s="2">
        <v>1.3440715298881001</v>
      </c>
      <c r="G9" s="2">
        <v>2.0272034045853902</v>
      </c>
      <c r="H9" s="2">
        <v>0.66093965519081399</v>
      </c>
      <c r="I9" s="2">
        <v>13963.214</v>
      </c>
      <c r="J9" s="2">
        <v>12.2290344966429</v>
      </c>
      <c r="K9" s="2">
        <v>18.046789995083</v>
      </c>
      <c r="L9" s="2">
        <v>6.41127899820279</v>
      </c>
    </row>
    <row r="10" spans="1:14" x14ac:dyDescent="0.2">
      <c r="A10" s="2">
        <v>12560.464</v>
      </c>
      <c r="B10" s="2">
        <v>6.0871133035910097</v>
      </c>
      <c r="C10" s="2">
        <v>11.413640806522</v>
      </c>
      <c r="D10" s="2">
        <v>0.76058580066005699</v>
      </c>
      <c r="E10" s="2">
        <v>15365.966</v>
      </c>
      <c r="F10" s="2">
        <v>1.3567367314854999</v>
      </c>
      <c r="G10" s="2">
        <v>2.0452299238249201</v>
      </c>
      <c r="H10" s="2">
        <v>0.66824353914608303</v>
      </c>
      <c r="I10" s="2">
        <v>15365.966</v>
      </c>
      <c r="J10" s="2">
        <v>12.149794768093001</v>
      </c>
      <c r="K10" s="2">
        <v>17.837508366603799</v>
      </c>
      <c r="L10" s="2">
        <v>6.4620811695821896</v>
      </c>
    </row>
    <row r="11" spans="1:14" x14ac:dyDescent="0.2">
      <c r="A11" s="2">
        <v>13963.214</v>
      </c>
      <c r="B11" s="2">
        <v>6.0589275512112497</v>
      </c>
      <c r="C11" s="2">
        <v>11.200711139834899</v>
      </c>
      <c r="D11" s="2">
        <v>0.91714396258763298</v>
      </c>
      <c r="E11" s="2">
        <v>19574.219000000001</v>
      </c>
      <c r="F11" s="2">
        <v>1.39524713582279</v>
      </c>
      <c r="G11" s="2">
        <v>2.0218827563757902</v>
      </c>
      <c r="H11" s="2">
        <v>0.76861151526979699</v>
      </c>
      <c r="I11" s="2">
        <v>19574.219000000001</v>
      </c>
      <c r="J11" s="2">
        <v>11.9105129284663</v>
      </c>
      <c r="K11" s="2">
        <v>16.565571166855602</v>
      </c>
      <c r="L11" s="2">
        <v>7.2554546900769896</v>
      </c>
    </row>
    <row r="12" spans="1:14" x14ac:dyDescent="0.2">
      <c r="A12" s="2">
        <v>15365.966</v>
      </c>
      <c r="B12" s="2">
        <v>6.0294668020814299</v>
      </c>
      <c r="C12" s="2">
        <v>11.212377553613299</v>
      </c>
      <c r="D12" s="2">
        <v>0.84655605054953698</v>
      </c>
      <c r="E12" s="2">
        <v>20976.97</v>
      </c>
      <c r="F12" s="2">
        <v>1.40825554611516</v>
      </c>
      <c r="G12" s="2">
        <v>2.0135687054516</v>
      </c>
      <c r="H12" s="2">
        <v>0.80294238677872498</v>
      </c>
      <c r="I12" s="2">
        <v>20976.97</v>
      </c>
      <c r="J12" s="2">
        <v>11.8302313742025</v>
      </c>
      <c r="K12" s="2">
        <v>16.2544901607776</v>
      </c>
      <c r="L12" s="2">
        <v>7.4059725876273497</v>
      </c>
    </row>
    <row r="13" spans="1:14" x14ac:dyDescent="0.2">
      <c r="A13" s="2">
        <v>19574.219000000001</v>
      </c>
      <c r="B13" s="2">
        <v>5.9334348824064502</v>
      </c>
      <c r="C13" s="2">
        <v>10.453578151326001</v>
      </c>
      <c r="D13" s="2">
        <v>1.41329161348693</v>
      </c>
      <c r="E13" s="2">
        <v>22379.72</v>
      </c>
      <c r="F13" s="2">
        <v>1.42134975146558</v>
      </c>
      <c r="G13" s="2">
        <v>2.0315053414319699</v>
      </c>
      <c r="H13" s="2">
        <v>0.81119416149918799</v>
      </c>
      <c r="I13" s="2">
        <v>22379.72</v>
      </c>
      <c r="J13" s="2">
        <v>11.7496894069213</v>
      </c>
      <c r="K13" s="2">
        <v>16.015663651356299</v>
      </c>
      <c r="L13" s="2">
        <v>7.48371516248619</v>
      </c>
    </row>
    <row r="14" spans="1:14" x14ac:dyDescent="0.2">
      <c r="A14" s="2">
        <v>20976.97</v>
      </c>
      <c r="B14" s="2">
        <v>5.8988743312052998</v>
      </c>
      <c r="C14" s="2">
        <v>10.2369900875819</v>
      </c>
      <c r="D14" s="2">
        <v>1.5607585748286501</v>
      </c>
      <c r="E14" s="2">
        <v>23782.471000000001</v>
      </c>
      <c r="F14" s="2">
        <v>1.4345297705433799</v>
      </c>
      <c r="G14" s="2">
        <v>2.0317552462275601</v>
      </c>
      <c r="H14" s="2">
        <v>0.837304294859195</v>
      </c>
      <c r="I14" s="2">
        <v>23782.471000000001</v>
      </c>
      <c r="J14" s="2">
        <v>11.668886911788199</v>
      </c>
      <c r="K14" s="2">
        <v>15.720123353578099</v>
      </c>
      <c r="L14" s="2">
        <v>7.6176504699983099</v>
      </c>
    </row>
    <row r="15" spans="1:14" x14ac:dyDescent="0.2">
      <c r="A15" s="2">
        <v>22379.72</v>
      </c>
      <c r="B15" s="2">
        <v>5.8630388503504403</v>
      </c>
      <c r="C15" s="2">
        <v>10.0752962708067</v>
      </c>
      <c r="D15" s="2">
        <v>1.6507814298941901</v>
      </c>
      <c r="E15" s="2">
        <v>26587.973000000002</v>
      </c>
      <c r="F15" s="2">
        <v>1.4611472219688899</v>
      </c>
      <c r="G15" s="2">
        <v>2.09521874551585</v>
      </c>
      <c r="H15" s="2">
        <v>0.82707569842192796</v>
      </c>
      <c r="I15" s="2">
        <v>25185.222000000002</v>
      </c>
      <c r="J15" s="2">
        <v>11.587823946127701</v>
      </c>
      <c r="K15" s="2">
        <v>15.6767670500624</v>
      </c>
      <c r="L15" s="2">
        <v>7.49888084219302</v>
      </c>
    </row>
    <row r="16" spans="1:14" x14ac:dyDescent="0.2">
      <c r="A16" s="2">
        <v>23782.471000000001</v>
      </c>
      <c r="B16" s="2">
        <v>5.8259283887486903</v>
      </c>
      <c r="C16" s="2">
        <v>9.9679497008176003</v>
      </c>
      <c r="D16" s="2">
        <v>1.6839070766797699</v>
      </c>
      <c r="E16" s="2">
        <v>27990.723999999998</v>
      </c>
      <c r="F16" s="2">
        <v>1.4745846543165999</v>
      </c>
      <c r="G16" s="2">
        <v>2.0955292207431202</v>
      </c>
      <c r="H16" s="2">
        <v>0.85364008789007195</v>
      </c>
      <c r="I16" s="2">
        <v>26587.973000000002</v>
      </c>
      <c r="J16" s="2">
        <v>11.5065005099397</v>
      </c>
      <c r="K16" s="2">
        <v>15.5714125724409</v>
      </c>
      <c r="L16" s="2">
        <v>7.44158844743861</v>
      </c>
    </row>
    <row r="17" spans="1:12" x14ac:dyDescent="0.2">
      <c r="A17" s="2">
        <v>25185.222000000002</v>
      </c>
      <c r="B17" s="2">
        <v>5.78754297149219</v>
      </c>
      <c r="C17" s="2">
        <v>9.9693975281352003</v>
      </c>
      <c r="D17" s="2">
        <v>1.6056884148491799</v>
      </c>
      <c r="E17" s="2">
        <v>29393.473999999998</v>
      </c>
      <c r="F17" s="2">
        <v>1.4881078814165101</v>
      </c>
      <c r="G17" s="2">
        <v>2.0956846778446101</v>
      </c>
      <c r="H17" s="2">
        <v>0.88053108498840604</v>
      </c>
      <c r="I17" s="2">
        <v>27990.723999999998</v>
      </c>
      <c r="J17" s="2">
        <v>11.4249166032243</v>
      </c>
      <c r="K17" s="2">
        <v>15.2908049284593</v>
      </c>
      <c r="L17" s="2">
        <v>7.5590282779893299</v>
      </c>
    </row>
    <row r="18" spans="1:12" x14ac:dyDescent="0.2">
      <c r="A18" s="2">
        <v>27990.723999999998</v>
      </c>
      <c r="B18" s="2">
        <v>5.7069472700149504</v>
      </c>
      <c r="C18" s="2">
        <v>9.7476525181209404</v>
      </c>
      <c r="D18" s="2">
        <v>1.66624202190897</v>
      </c>
      <c r="E18" s="2">
        <v>30796.225999999999</v>
      </c>
      <c r="F18" s="2">
        <v>1.5017169322819099</v>
      </c>
      <c r="G18" s="2">
        <v>2.1235224029875699</v>
      </c>
      <c r="H18" s="2">
        <v>0.87991146157625699</v>
      </c>
      <c r="I18" s="2">
        <v>29393.473999999998</v>
      </c>
      <c r="J18" s="2">
        <v>11.3430722844199</v>
      </c>
      <c r="K18" s="2">
        <v>14.9603334099605</v>
      </c>
      <c r="L18" s="2">
        <v>7.7258111588793099</v>
      </c>
    </row>
    <row r="19" spans="1:12" x14ac:dyDescent="0.2">
      <c r="A19" s="2">
        <v>28083.814999999999</v>
      </c>
      <c r="B19" s="2">
        <v>5.7041855593911901</v>
      </c>
      <c r="C19" s="2">
        <v>9.7438331707008192</v>
      </c>
      <c r="D19" s="2">
        <v>1.6645379480815701</v>
      </c>
      <c r="E19" s="2">
        <v>32198.975999999999</v>
      </c>
      <c r="F19" s="2">
        <v>1.5154117681060899</v>
      </c>
      <c r="G19" s="2">
        <v>2.17036301744767</v>
      </c>
      <c r="H19" s="2">
        <v>0.86046051876451701</v>
      </c>
      <c r="I19" s="2">
        <v>30796.225999999999</v>
      </c>
      <c r="J19" s="2">
        <v>11.260967378211101</v>
      </c>
      <c r="K19" s="2">
        <v>14.9208865844938</v>
      </c>
      <c r="L19" s="2">
        <v>7.6010481719283902</v>
      </c>
    </row>
    <row r="20" spans="1:12" x14ac:dyDescent="0.2">
      <c r="A20" s="2">
        <v>29393.473999999998</v>
      </c>
      <c r="B20" s="2">
        <v>5.6647370163397399</v>
      </c>
      <c r="C20" s="2">
        <v>9.6349439835595501</v>
      </c>
      <c r="D20" s="2">
        <v>1.69453004911992</v>
      </c>
      <c r="E20" s="2">
        <v>33601.726999999999</v>
      </c>
      <c r="F20" s="2">
        <v>1.5291924180858401</v>
      </c>
      <c r="G20" s="2">
        <v>2.1989363023004702</v>
      </c>
      <c r="H20" s="2">
        <v>0.85944853387119802</v>
      </c>
      <c r="I20" s="2">
        <v>32198.975999999999</v>
      </c>
      <c r="J20" s="2">
        <v>11.1786021187231</v>
      </c>
      <c r="K20" s="2">
        <v>14.8798755406764</v>
      </c>
      <c r="L20" s="2">
        <v>7.4773286967698498</v>
      </c>
    </row>
    <row r="21" spans="1:12" x14ac:dyDescent="0.2">
      <c r="A21" s="2">
        <v>30796.225999999999</v>
      </c>
      <c r="B21" s="2">
        <v>5.6212517459187303</v>
      </c>
      <c r="C21" s="2">
        <v>9.6293587736447694</v>
      </c>
      <c r="D21" s="2">
        <v>1.6131447181926899</v>
      </c>
      <c r="E21" s="2">
        <v>35004.478000000003</v>
      </c>
      <c r="F21" s="2">
        <v>1.5430588724888801</v>
      </c>
      <c r="G21" s="2">
        <v>2.2182956194104499</v>
      </c>
      <c r="H21" s="2">
        <v>0.86782212556731098</v>
      </c>
      <c r="I21" s="2">
        <v>33601.726999999999</v>
      </c>
      <c r="J21" s="2">
        <v>11.0959763300836</v>
      </c>
      <c r="K21" s="2">
        <v>14.783354777608601</v>
      </c>
      <c r="L21" s="2">
        <v>7.4085978825584897</v>
      </c>
    </row>
    <row r="22" spans="1:12" x14ac:dyDescent="0.2">
      <c r="A22" s="2">
        <v>33601.726999999999</v>
      </c>
      <c r="B22" s="2">
        <v>5.5304564324757299</v>
      </c>
      <c r="C22" s="2">
        <v>9.6118732417850197</v>
      </c>
      <c r="D22" s="2">
        <v>1.44903962316643</v>
      </c>
      <c r="E22" s="2">
        <v>37809.980000000003</v>
      </c>
      <c r="F22" s="2">
        <v>1.5710491945648799</v>
      </c>
      <c r="G22" s="2">
        <v>2.2864441894521401</v>
      </c>
      <c r="H22" s="2">
        <v>0.85565419967761402</v>
      </c>
      <c r="I22" s="2">
        <v>35004.478000000003</v>
      </c>
      <c r="J22" s="2">
        <v>11.013090070916499</v>
      </c>
      <c r="K22" s="2">
        <v>14.6345150939049</v>
      </c>
      <c r="L22" s="2">
        <v>7.3916650479281296</v>
      </c>
    </row>
    <row r="23" spans="1:12" x14ac:dyDescent="0.2">
      <c r="A23" s="2">
        <v>35004.478000000003</v>
      </c>
      <c r="B23" s="2">
        <v>5.4831463265448903</v>
      </c>
      <c r="C23" s="2">
        <v>9.5999424740511703</v>
      </c>
      <c r="D23" s="2">
        <v>1.3663501790386099</v>
      </c>
      <c r="E23" s="2">
        <v>39212.731</v>
      </c>
      <c r="F23" s="2">
        <v>1.5851730622378299</v>
      </c>
      <c r="G23" s="2">
        <v>2.2772284427984002</v>
      </c>
      <c r="H23" s="2">
        <v>0.89311768167725702</v>
      </c>
      <c r="I23" s="2">
        <v>37809.980000000003</v>
      </c>
      <c r="J23" s="2">
        <v>10.846536141000101</v>
      </c>
      <c r="K23" s="2">
        <v>14.499978426051101</v>
      </c>
      <c r="L23" s="2">
        <v>7.1930938559490798</v>
      </c>
    </row>
    <row r="24" spans="1:12" x14ac:dyDescent="0.2">
      <c r="A24" s="2">
        <v>37809.980000000003</v>
      </c>
      <c r="B24" s="2">
        <v>5.3847012477189899</v>
      </c>
      <c r="C24" s="2">
        <v>9.5696290805477897</v>
      </c>
      <c r="D24" s="2">
        <v>1.19977341489018</v>
      </c>
      <c r="E24" s="2">
        <v>40615.482000000004</v>
      </c>
      <c r="F24" s="2">
        <v>1.5993827343340801</v>
      </c>
      <c r="G24" s="2">
        <v>2.2971576746137199</v>
      </c>
      <c r="H24" s="2">
        <v>0.90160779405444003</v>
      </c>
      <c r="I24" s="2">
        <v>39212.731</v>
      </c>
      <c r="J24" s="2">
        <v>10.7628684702507</v>
      </c>
      <c r="K24" s="2">
        <v>14.2561673604958</v>
      </c>
      <c r="L24" s="2">
        <v>7.26956958000551</v>
      </c>
    </row>
    <row r="25" spans="1:12" x14ac:dyDescent="0.2">
      <c r="A25" s="2">
        <v>39212.731</v>
      </c>
      <c r="B25" s="2">
        <v>5.3335662748239203</v>
      </c>
      <c r="C25" s="2">
        <v>9.3930542273891007</v>
      </c>
      <c r="D25" s="2">
        <v>1.27407832225874</v>
      </c>
      <c r="E25" s="2">
        <v>43420.983999999997</v>
      </c>
      <c r="F25" s="2">
        <v>1.6280594917964899</v>
      </c>
      <c r="G25" s="2">
        <v>2.3474348993786802</v>
      </c>
      <c r="H25" s="2">
        <v>0.90868408421430003</v>
      </c>
      <c r="I25" s="2">
        <v>40615.482000000004</v>
      </c>
      <c r="J25" s="2">
        <v>10.6789403289738</v>
      </c>
      <c r="K25" s="2">
        <v>14.018551085021899</v>
      </c>
      <c r="L25" s="2">
        <v>7.3393295729257</v>
      </c>
    </row>
    <row r="26" spans="1:12" x14ac:dyDescent="0.2">
      <c r="A26" s="2">
        <v>40615.482000000004</v>
      </c>
      <c r="B26" s="2">
        <v>5.2811563462741002</v>
      </c>
      <c r="C26" s="2">
        <v>9.2682999344681605</v>
      </c>
      <c r="D26" s="2">
        <v>1.29401275808004</v>
      </c>
      <c r="E26" s="2">
        <v>44823.733999999997</v>
      </c>
      <c r="F26" s="2">
        <v>1.6425265668186999</v>
      </c>
      <c r="G26" s="2">
        <v>2.3477259506431798</v>
      </c>
      <c r="H26" s="2">
        <v>0.93732718299421602</v>
      </c>
      <c r="I26" s="2">
        <v>42018.232000000004</v>
      </c>
      <c r="J26" s="2">
        <v>10.5947517772791</v>
      </c>
      <c r="K26" s="2">
        <v>13.934176263911301</v>
      </c>
      <c r="L26" s="2">
        <v>7.2553272906468997</v>
      </c>
    </row>
    <row r="27" spans="1:12" x14ac:dyDescent="0.2">
      <c r="A27" s="2">
        <v>43420.983999999997</v>
      </c>
      <c r="B27" s="2">
        <v>5.1725116222102203</v>
      </c>
      <c r="C27" s="2">
        <v>9.11925408110198</v>
      </c>
      <c r="D27" s="2">
        <v>1.22576916331846</v>
      </c>
      <c r="E27" s="2">
        <v>46226.483999999997</v>
      </c>
      <c r="F27" s="2">
        <v>1.6570794461418701</v>
      </c>
      <c r="G27" s="2">
        <v>2.3681413323637099</v>
      </c>
      <c r="H27" s="2">
        <v>0.94601755992002801</v>
      </c>
      <c r="I27" s="2">
        <v>43420.983999999997</v>
      </c>
      <c r="J27" s="2">
        <v>10.5103026348377</v>
      </c>
      <c r="K27" s="2">
        <v>13.8028802831201</v>
      </c>
      <c r="L27" s="2">
        <v>7.2177249865553099</v>
      </c>
    </row>
    <row r="28" spans="1:12" x14ac:dyDescent="0.2">
      <c r="A28" s="2">
        <v>44823.733999999997</v>
      </c>
      <c r="B28" s="2">
        <v>5.1162768672395398</v>
      </c>
      <c r="C28" s="2">
        <v>8.9905845180444199</v>
      </c>
      <c r="D28" s="2">
        <v>1.2419692164346501</v>
      </c>
      <c r="E28" s="2">
        <v>47629.235000000001</v>
      </c>
      <c r="F28" s="2">
        <v>1.67171814023229</v>
      </c>
      <c r="G28" s="2">
        <v>2.3989409843035898</v>
      </c>
      <c r="H28" s="2">
        <v>0.94449529616098704</v>
      </c>
      <c r="I28" s="2">
        <v>44823.733999999997</v>
      </c>
      <c r="J28" s="2">
        <v>10.425593142459499</v>
      </c>
      <c r="K28" s="2">
        <v>13.5789521210174</v>
      </c>
      <c r="L28" s="2">
        <v>7.27223416390148</v>
      </c>
    </row>
    <row r="29" spans="1:12" x14ac:dyDescent="0.2">
      <c r="A29" s="2">
        <v>46226.483999999997</v>
      </c>
      <c r="B29" s="2">
        <v>5.0587671584319098</v>
      </c>
      <c r="C29" s="2">
        <v>8.91219133467599</v>
      </c>
      <c r="D29" s="2">
        <v>1.2053429821878201</v>
      </c>
      <c r="E29" s="2">
        <v>49031.985999999997</v>
      </c>
      <c r="F29" s="2">
        <v>1.6864426387460101</v>
      </c>
      <c r="G29" s="2">
        <v>2.4093971661536799</v>
      </c>
      <c r="H29" s="2">
        <v>0.96348811133835099</v>
      </c>
      <c r="I29" s="2">
        <v>47629.235000000001</v>
      </c>
      <c r="J29" s="2">
        <v>10.255392686382301</v>
      </c>
      <c r="K29" s="2">
        <v>13.426536594829701</v>
      </c>
      <c r="L29" s="2">
        <v>7.0842487779350201</v>
      </c>
    </row>
    <row r="30" spans="1:12" x14ac:dyDescent="0.2">
      <c r="A30" s="2">
        <v>47629.235000000001</v>
      </c>
      <c r="B30" s="2">
        <v>4.9999824534261403</v>
      </c>
      <c r="C30" s="2">
        <v>8.8832391341558399</v>
      </c>
      <c r="D30" s="2">
        <v>1.1167257726964499</v>
      </c>
      <c r="E30" s="2">
        <v>50434.737999999998</v>
      </c>
      <c r="F30" s="2">
        <v>1.7012529522716699</v>
      </c>
      <c r="G30" s="2">
        <v>2.4406516852893501</v>
      </c>
      <c r="H30" s="2">
        <v>0.96185421925398396</v>
      </c>
      <c r="I30" s="2">
        <v>49031.985999999997</v>
      </c>
      <c r="J30" s="2">
        <v>10.169901722312099</v>
      </c>
      <c r="K30" s="2">
        <v>13.2608037041458</v>
      </c>
      <c r="L30" s="2">
        <v>7.0789997404784204</v>
      </c>
    </row>
    <row r="31" spans="1:12" x14ac:dyDescent="0.2">
      <c r="A31" s="2">
        <v>49031.985999999997</v>
      </c>
      <c r="B31" s="2">
        <v>4.9399227927656399</v>
      </c>
      <c r="C31" s="2">
        <v>8.75044152385607</v>
      </c>
      <c r="D31" s="2">
        <v>1.1294040616751999</v>
      </c>
      <c r="E31" s="2">
        <v>51837.487999999998</v>
      </c>
      <c r="F31" s="2">
        <v>1.71614904904337</v>
      </c>
      <c r="G31" s="2">
        <v>2.4827227505629001</v>
      </c>
      <c r="H31" s="2">
        <v>0.94957534752383799</v>
      </c>
      <c r="I31" s="2">
        <v>50434.737999999998</v>
      </c>
      <c r="J31" s="2">
        <v>10.0841502264906</v>
      </c>
      <c r="K31" s="2">
        <v>13.144582337183101</v>
      </c>
      <c r="L31" s="2">
        <v>7.0237181157982098</v>
      </c>
    </row>
    <row r="32" spans="1:12" x14ac:dyDescent="0.2">
      <c r="A32" s="2">
        <v>50434.737999999998</v>
      </c>
      <c r="B32" s="2">
        <v>4.8785881322714104</v>
      </c>
      <c r="C32" s="2">
        <v>8.7175981818124093</v>
      </c>
      <c r="D32" s="2">
        <v>1.03957808273041</v>
      </c>
      <c r="E32" s="2">
        <v>53240.239000000001</v>
      </c>
      <c r="F32" s="2">
        <v>1.731130960827</v>
      </c>
      <c r="G32" s="2">
        <v>2.5041097727385901</v>
      </c>
      <c r="H32" s="2">
        <v>0.95815214891539802</v>
      </c>
      <c r="I32" s="2">
        <v>51837.487999999998</v>
      </c>
      <c r="J32" s="2">
        <v>9.9981383825892198</v>
      </c>
      <c r="K32" s="2">
        <v>13.1217785653322</v>
      </c>
      <c r="L32" s="2">
        <v>6.8744981998462</v>
      </c>
    </row>
    <row r="33" spans="1:12" x14ac:dyDescent="0.2">
      <c r="A33" s="2">
        <v>53240.239000000001</v>
      </c>
      <c r="B33" s="2">
        <v>4.7520940768556201</v>
      </c>
      <c r="C33" s="2">
        <v>8.6950519084056204</v>
      </c>
      <c r="D33" s="2">
        <v>0.809136245305624</v>
      </c>
      <c r="E33" s="2">
        <v>54642.99</v>
      </c>
      <c r="F33" s="2">
        <v>1.7461986770339299</v>
      </c>
      <c r="G33" s="2">
        <v>2.5149635797331902</v>
      </c>
      <c r="H33" s="2">
        <v>0.97743377433466205</v>
      </c>
      <c r="I33" s="2">
        <v>53240.239000000001</v>
      </c>
      <c r="J33" s="2">
        <v>9.9118660069365898</v>
      </c>
      <c r="K33" s="2">
        <v>13.055498358435299</v>
      </c>
      <c r="L33" s="2">
        <v>6.7682336554378697</v>
      </c>
    </row>
    <row r="34" spans="1:12" x14ac:dyDescent="0.2">
      <c r="A34" s="2">
        <v>54642.99</v>
      </c>
      <c r="B34" s="2">
        <v>4.6869345935761197</v>
      </c>
      <c r="C34" s="2">
        <v>8.4566906212447801</v>
      </c>
      <c r="D34" s="2">
        <v>0.91717856590746705</v>
      </c>
      <c r="E34" s="2">
        <v>56045.741000000002</v>
      </c>
      <c r="F34" s="2">
        <v>1.76135219766416</v>
      </c>
      <c r="G34" s="2">
        <v>2.5473160424924899</v>
      </c>
      <c r="H34" s="2">
        <v>0.97538835283582603</v>
      </c>
      <c r="I34" s="2">
        <v>54642.99</v>
      </c>
      <c r="J34" s="2">
        <v>9.8253331607565002</v>
      </c>
      <c r="K34" s="2">
        <v>12.9023708805644</v>
      </c>
      <c r="L34" s="2">
        <v>6.74829544094864</v>
      </c>
    </row>
    <row r="35" spans="1:12" x14ac:dyDescent="0.2">
      <c r="A35" s="2">
        <v>56045.741000000002</v>
      </c>
      <c r="B35" s="2">
        <v>4.6205001546418796</v>
      </c>
      <c r="C35" s="2">
        <v>8.3664024056170998</v>
      </c>
      <c r="D35" s="2">
        <v>0.87459790366665902</v>
      </c>
      <c r="E35" s="2">
        <v>57448.491999999998</v>
      </c>
      <c r="F35" s="2">
        <v>1.7765915227176901</v>
      </c>
      <c r="G35" s="2">
        <v>2.59084881794338</v>
      </c>
      <c r="H35" s="2">
        <v>0.96233422749200803</v>
      </c>
      <c r="I35" s="2">
        <v>56045.741000000002</v>
      </c>
      <c r="J35" s="2">
        <v>9.7385398440489599</v>
      </c>
      <c r="K35" s="2">
        <v>12.752795937013101</v>
      </c>
      <c r="L35" s="2">
        <v>6.7242837510847799</v>
      </c>
    </row>
    <row r="36" spans="1:12" x14ac:dyDescent="0.2">
      <c r="A36" s="2">
        <v>57448.491999999998</v>
      </c>
      <c r="B36" s="2">
        <v>4.5527907600528899</v>
      </c>
      <c r="C36" s="2">
        <v>8.4213624721772895</v>
      </c>
      <c r="D36" s="2">
        <v>0.68421904792848198</v>
      </c>
      <c r="E36" s="2">
        <v>58851.241999999998</v>
      </c>
      <c r="F36" s="2">
        <v>1.7919166412388901</v>
      </c>
      <c r="G36" s="2">
        <v>2.61299399312467</v>
      </c>
      <c r="H36" s="2">
        <v>0.97083928935310704</v>
      </c>
      <c r="I36" s="2">
        <v>57448.491999999998</v>
      </c>
      <c r="J36" s="2">
        <v>9.65148605681396</v>
      </c>
      <c r="K36" s="2">
        <v>12.7830597233628</v>
      </c>
      <c r="L36" s="2">
        <v>6.5199123902651097</v>
      </c>
    </row>
    <row r="37" spans="1:12" x14ac:dyDescent="0.2">
      <c r="A37" s="2">
        <v>58851.241999999998</v>
      </c>
      <c r="B37" s="2">
        <v>4.4838064594415004</v>
      </c>
      <c r="C37" s="2">
        <v>8.3267833603177994</v>
      </c>
      <c r="D37" s="2">
        <v>0.64082955856519597</v>
      </c>
      <c r="E37" s="2">
        <v>60253.993999999999</v>
      </c>
      <c r="F37" s="2">
        <v>1.80732758609467</v>
      </c>
      <c r="G37" s="2">
        <v>2.63528487157576</v>
      </c>
      <c r="H37" s="2">
        <v>0.979370300613569</v>
      </c>
      <c r="I37" s="2">
        <v>58851.241999999998</v>
      </c>
      <c r="J37" s="2">
        <v>9.5641718613893598</v>
      </c>
      <c r="K37" s="2">
        <v>12.6834061493246</v>
      </c>
      <c r="L37" s="2">
        <v>6.4449375734541103</v>
      </c>
    </row>
    <row r="38" spans="1:12" x14ac:dyDescent="0.2">
      <c r="A38" s="2">
        <v>60253.993999999999</v>
      </c>
      <c r="B38" s="2">
        <v>4.41354710391066</v>
      </c>
      <c r="C38" s="2">
        <v>8.2305294285141102</v>
      </c>
      <c r="D38" s="2">
        <v>0.59656477930720497</v>
      </c>
      <c r="E38" s="2">
        <v>61656.743999999999</v>
      </c>
      <c r="F38" s="2">
        <v>1.8228243133401301</v>
      </c>
      <c r="G38" s="2">
        <v>2.6799853117705199</v>
      </c>
      <c r="H38" s="2">
        <v>0.965663314909742</v>
      </c>
      <c r="I38" s="2">
        <v>61656.743999999999</v>
      </c>
      <c r="J38" s="2">
        <v>9.3887619346534308</v>
      </c>
      <c r="K38" s="2">
        <v>12.5807437828157</v>
      </c>
      <c r="L38" s="2">
        <v>6.1967800864911204</v>
      </c>
    </row>
    <row r="39" spans="1:12" x14ac:dyDescent="0.2">
      <c r="A39" s="2">
        <v>61656.743999999999</v>
      </c>
      <c r="B39" s="2">
        <v>4.3420128938075697</v>
      </c>
      <c r="C39" s="2">
        <v>8.2285652058564391</v>
      </c>
      <c r="D39" s="2">
        <v>0.45546058175869603</v>
      </c>
      <c r="E39" s="2">
        <v>63059.495999999999</v>
      </c>
      <c r="F39" s="2">
        <v>1.8384068671648399</v>
      </c>
      <c r="G39" s="2">
        <v>2.7252047712780798</v>
      </c>
      <c r="H39" s="2">
        <v>0.95160896305160902</v>
      </c>
      <c r="I39" s="2">
        <v>64462.245999999999</v>
      </c>
      <c r="J39" s="2">
        <v>9.2123101258076705</v>
      </c>
      <c r="K39" s="2">
        <v>12.402848125807701</v>
      </c>
      <c r="L39" s="2">
        <v>6.0217721258076704</v>
      </c>
    </row>
    <row r="40" spans="1:12" x14ac:dyDescent="0.2">
      <c r="A40" s="2">
        <v>62028.686000000002</v>
      </c>
      <c r="B40" s="2">
        <v>4.3228316068098396</v>
      </c>
      <c r="C40" s="2">
        <v>8.2500321953747004</v>
      </c>
      <c r="D40" s="2">
        <v>0.39563101824497798</v>
      </c>
      <c r="E40" s="2">
        <v>65864.997000000003</v>
      </c>
      <c r="F40" s="2">
        <v>1.8698293546667499</v>
      </c>
      <c r="G40" s="2">
        <v>2.72590502158639</v>
      </c>
      <c r="H40" s="2">
        <v>1.0137536877471001</v>
      </c>
      <c r="I40" s="2">
        <v>65864.997000000003</v>
      </c>
      <c r="J40" s="2">
        <v>9.1236935155935992</v>
      </c>
      <c r="K40" s="2">
        <v>12.274871115779399</v>
      </c>
      <c r="L40" s="2">
        <v>5.9725159154077598</v>
      </c>
    </row>
    <row r="41" spans="1:12" x14ac:dyDescent="0.2">
      <c r="A41" s="2">
        <v>64462.245999999999</v>
      </c>
      <c r="B41" s="2">
        <v>4.1951195055546497</v>
      </c>
      <c r="C41" s="2">
        <v>8.0263172825238893</v>
      </c>
      <c r="D41" s="2">
        <v>0.36392172858541799</v>
      </c>
      <c r="E41" s="2">
        <v>67267.748000000007</v>
      </c>
      <c r="F41" s="2">
        <v>1.88566931062222</v>
      </c>
      <c r="G41" s="2">
        <v>2.7719443735596099</v>
      </c>
      <c r="H41" s="2">
        <v>0.99939424768484397</v>
      </c>
      <c r="I41" s="2">
        <v>67267.748000000007</v>
      </c>
      <c r="J41" s="2">
        <v>9.0348164348520701</v>
      </c>
      <c r="K41" s="2">
        <v>12.237584932890099</v>
      </c>
      <c r="L41" s="2">
        <v>5.8320479368140399</v>
      </c>
    </row>
    <row r="42" spans="1:12" x14ac:dyDescent="0.2">
      <c r="A42" s="2">
        <v>65903.679000000004</v>
      </c>
      <c r="B42" s="2">
        <v>4.1176642249715396</v>
      </c>
      <c r="C42" s="2">
        <v>7.8728442296384502</v>
      </c>
      <c r="D42" s="2">
        <v>0.36248422030462502</v>
      </c>
      <c r="E42" s="2">
        <v>68670.498000000007</v>
      </c>
      <c r="F42" s="2">
        <v>1.90159505961718</v>
      </c>
      <c r="G42" s="2">
        <v>2.80690887986654</v>
      </c>
      <c r="H42" s="2">
        <v>0.99628123936782897</v>
      </c>
      <c r="I42" s="2">
        <v>68670.498000000007</v>
      </c>
      <c r="J42" s="2">
        <v>8.9456789472207401</v>
      </c>
      <c r="K42" s="2">
        <v>12.2037181212755</v>
      </c>
      <c r="L42" s="2">
        <v>5.68763977316602</v>
      </c>
    </row>
    <row r="43" spans="1:12" x14ac:dyDescent="0.2">
      <c r="A43" s="2">
        <v>67267.748000000007</v>
      </c>
      <c r="B43" s="2">
        <v>4.0431262946827502</v>
      </c>
      <c r="C43" s="2">
        <v>7.8173301447726997</v>
      </c>
      <c r="D43" s="2">
        <v>0.26892244459279702</v>
      </c>
      <c r="E43" s="2">
        <v>71476</v>
      </c>
      <c r="F43" s="2">
        <v>1.9337039935223099</v>
      </c>
      <c r="G43" s="2">
        <v>2.8542619931468902</v>
      </c>
      <c r="H43" s="2">
        <v>1.0131459938977301</v>
      </c>
      <c r="I43" s="2">
        <v>71476</v>
      </c>
      <c r="J43" s="2">
        <v>8.7666224334717597</v>
      </c>
      <c r="K43" s="2">
        <v>12.013376063584801</v>
      </c>
      <c r="L43" s="2">
        <v>5.5198688033587704</v>
      </c>
    </row>
    <row r="44" spans="1:12" x14ac:dyDescent="0.2">
      <c r="A44" s="2">
        <v>68670.498000000007</v>
      </c>
      <c r="B44" s="2">
        <v>3.9652173117593001</v>
      </c>
      <c r="C44" s="2">
        <v>7.8027808581403102</v>
      </c>
      <c r="D44" s="2">
        <v>0.12765376537828499</v>
      </c>
      <c r="E44" s="2">
        <v>74281.501999999993</v>
      </c>
      <c r="F44" s="2">
        <v>1.96615614512064</v>
      </c>
      <c r="G44" s="2">
        <v>2.8782060580442299</v>
      </c>
      <c r="H44" s="2">
        <v>1.05410623219704</v>
      </c>
      <c r="I44" s="2">
        <v>74281.501999999993</v>
      </c>
      <c r="J44" s="2">
        <v>8.5865240376129499</v>
      </c>
      <c r="K44" s="2">
        <v>11.8345821087362</v>
      </c>
      <c r="L44" s="2">
        <v>5.3384659664897001</v>
      </c>
    </row>
    <row r="45" spans="1:12" x14ac:dyDescent="0.2">
      <c r="A45" s="2">
        <v>71476</v>
      </c>
      <c r="B45" s="2">
        <v>3.8055743687766999</v>
      </c>
      <c r="C45" s="2">
        <v>7.4912134904071497</v>
      </c>
      <c r="D45" s="2">
        <v>0.119935247146261</v>
      </c>
      <c r="E45" s="2">
        <v>75684.252999999997</v>
      </c>
      <c r="F45" s="2">
        <v>1.9825109275547499</v>
      </c>
      <c r="G45" s="2">
        <v>2.8779974815629701</v>
      </c>
      <c r="H45" s="2">
        <v>1.0870243735465299</v>
      </c>
      <c r="I45" s="2">
        <v>75684.252999999997</v>
      </c>
      <c r="J45" s="2">
        <v>8.4960841338923494</v>
      </c>
      <c r="K45" s="2">
        <v>11.681089933282299</v>
      </c>
      <c r="L45" s="2">
        <v>5.3110783345023904</v>
      </c>
    </row>
    <row r="46" spans="1:12" x14ac:dyDescent="0.2">
      <c r="A46" s="2">
        <v>74281.501999999993</v>
      </c>
      <c r="B46" s="2">
        <v>3.64083160317512</v>
      </c>
      <c r="C46" s="2">
        <v>7.1758833383735796</v>
      </c>
      <c r="D46" s="2">
        <v>0.105779867976661</v>
      </c>
      <c r="E46" s="2">
        <v>79892.505999999994</v>
      </c>
      <c r="F46" s="2">
        <v>2.0320901013969102</v>
      </c>
      <c r="G46" s="2">
        <v>3.04950491456407</v>
      </c>
      <c r="H46" s="2">
        <v>1.0146752882297601</v>
      </c>
      <c r="I46" s="2">
        <v>77087.004000000001</v>
      </c>
      <c r="J46" s="2">
        <v>8.4053837596443</v>
      </c>
      <c r="K46" s="2">
        <v>11.758644453287101</v>
      </c>
      <c r="L46" s="2">
        <v>5.0521230660014798</v>
      </c>
    </row>
    <row r="47" spans="1:12" x14ac:dyDescent="0.2">
      <c r="A47" s="2">
        <v>75684.252999999997</v>
      </c>
      <c r="B47" s="2">
        <v>3.5565477868922102</v>
      </c>
      <c r="C47" s="2">
        <v>6.9724823802022904</v>
      </c>
      <c r="D47" s="2">
        <v>0.14061319358212401</v>
      </c>
      <c r="E47" s="2">
        <v>81295.255999999994</v>
      </c>
      <c r="F47" s="2">
        <v>2.0487880895899</v>
      </c>
      <c r="G47" s="2">
        <v>3.0872179769993799</v>
      </c>
      <c r="H47" s="2">
        <v>1.0103582021804201</v>
      </c>
      <c r="I47" s="2">
        <v>79892.505999999994</v>
      </c>
      <c r="J47" s="2">
        <v>8.2232015995658099</v>
      </c>
      <c r="K47" s="2">
        <v>11.8849551350075</v>
      </c>
      <c r="L47" s="2">
        <v>4.5614480641241304</v>
      </c>
    </row>
    <row r="48" spans="1:12" x14ac:dyDescent="0.2">
      <c r="A48" s="2">
        <v>77087.004000000001</v>
      </c>
      <c r="B48" s="2">
        <v>3.4709890149545499</v>
      </c>
      <c r="C48" s="2">
        <v>7.0328039331972496</v>
      </c>
      <c r="D48" s="2">
        <v>-9.0825903288154E-2</v>
      </c>
      <c r="E48" s="2">
        <v>82698.008000000002</v>
      </c>
      <c r="F48" s="2">
        <v>2.0655719060748599</v>
      </c>
      <c r="G48" s="2">
        <v>3.1126756353248002</v>
      </c>
      <c r="H48" s="2">
        <v>1.01846817682492</v>
      </c>
      <c r="I48" s="2">
        <v>81295.255999999994</v>
      </c>
      <c r="J48" s="2">
        <v>8.1317198790442102</v>
      </c>
      <c r="K48" s="2">
        <v>11.838361211566401</v>
      </c>
      <c r="L48" s="2">
        <v>4.4250785465220099</v>
      </c>
    </row>
    <row r="49" spans="1:12" x14ac:dyDescent="0.2">
      <c r="A49" s="2">
        <v>79892.505999999994</v>
      </c>
      <c r="B49" s="2">
        <v>3.2960466041149901</v>
      </c>
      <c r="C49" s="2">
        <v>7.0093819211649304</v>
      </c>
      <c r="D49" s="2">
        <v>-0.41728871293495401</v>
      </c>
      <c r="E49" s="2">
        <v>85503.51</v>
      </c>
      <c r="F49" s="2">
        <v>2.0993969284460201</v>
      </c>
      <c r="G49" s="2">
        <v>3.1383928673437702</v>
      </c>
      <c r="H49" s="2">
        <v>1.06040098954827</v>
      </c>
      <c r="I49" s="2">
        <v>82698.008000000002</v>
      </c>
      <c r="J49" s="2">
        <v>8.0399775573774903</v>
      </c>
      <c r="K49" s="2">
        <v>11.795159489897699</v>
      </c>
      <c r="L49" s="2">
        <v>4.2847956248573098</v>
      </c>
    </row>
    <row r="50" spans="1:12" x14ac:dyDescent="0.2">
      <c r="A50" s="2">
        <v>81295.255999999994</v>
      </c>
      <c r="B50" s="2">
        <v>3.20666302938778</v>
      </c>
      <c r="C50" s="2">
        <v>6.84239991567578</v>
      </c>
      <c r="D50" s="2">
        <v>-0.42907385690021999</v>
      </c>
      <c r="E50" s="2">
        <v>86906.26</v>
      </c>
      <c r="F50" s="2">
        <v>2.1164381340875398</v>
      </c>
      <c r="G50" s="2">
        <v>3.1899608820307601</v>
      </c>
      <c r="H50" s="2">
        <v>1.0429153861443099</v>
      </c>
      <c r="I50" s="2">
        <v>85503.51</v>
      </c>
      <c r="J50" s="2">
        <v>7.8557116330793404</v>
      </c>
      <c r="K50" s="2">
        <v>11.6198759521677</v>
      </c>
      <c r="L50" s="2">
        <v>4.0915473139909997</v>
      </c>
    </row>
    <row r="51" spans="1:12" x14ac:dyDescent="0.2">
      <c r="A51" s="2">
        <v>82698.008000000002</v>
      </c>
      <c r="B51" s="2">
        <v>3.11600437065644</v>
      </c>
      <c r="C51" s="2">
        <v>6.7592543792792599</v>
      </c>
      <c r="D51" s="2">
        <v>-0.52724563796638602</v>
      </c>
      <c r="E51" s="2">
        <v>91114.513000000006</v>
      </c>
      <c r="F51" s="2">
        <v>2.1680766139054302</v>
      </c>
      <c r="G51" s="2">
        <v>3.2686146637492399</v>
      </c>
      <c r="H51" s="2">
        <v>1.06753856406162</v>
      </c>
      <c r="I51" s="2">
        <v>86906.26</v>
      </c>
      <c r="J51" s="2">
        <v>7.7631880311906398</v>
      </c>
      <c r="K51" s="2">
        <v>11.6859080379642</v>
      </c>
      <c r="L51" s="2">
        <v>3.8404680244170799</v>
      </c>
    </row>
    <row r="52" spans="1:12" x14ac:dyDescent="0.2">
      <c r="A52" s="2">
        <v>85503.51</v>
      </c>
      <c r="B52" s="2">
        <v>2.9308623145789001</v>
      </c>
      <c r="C52" s="2">
        <v>6.4607582386087703</v>
      </c>
      <c r="D52" s="2">
        <v>-0.59903360945096296</v>
      </c>
      <c r="E52" s="2">
        <v>92517.263999999996</v>
      </c>
      <c r="F52" s="2">
        <v>2.185461049358</v>
      </c>
      <c r="G52" s="2">
        <v>3.2306340318113098</v>
      </c>
      <c r="H52" s="2">
        <v>1.14028806690469</v>
      </c>
      <c r="I52" s="2">
        <v>89711.762000000002</v>
      </c>
      <c r="J52" s="2">
        <v>7.5773592840991002</v>
      </c>
      <c r="K52" s="2">
        <v>11.785907190565</v>
      </c>
      <c r="L52" s="2">
        <v>3.36881137763321</v>
      </c>
    </row>
    <row r="53" spans="1:12" x14ac:dyDescent="0.2">
      <c r="A53" s="2">
        <v>86906.26</v>
      </c>
      <c r="B53" s="2">
        <v>2.8363789208682899</v>
      </c>
      <c r="C53" s="2">
        <v>6.3712373890270699</v>
      </c>
      <c r="D53" s="2">
        <v>-0.698479547290484</v>
      </c>
      <c r="E53" s="2">
        <v>93920.013999999996</v>
      </c>
      <c r="F53" s="2">
        <v>2.2029312767490099</v>
      </c>
      <c r="G53" s="2">
        <v>3.22041396830857</v>
      </c>
      <c r="H53" s="2">
        <v>1.1854485851894501</v>
      </c>
      <c r="I53" s="2">
        <v>92517.263999999996</v>
      </c>
      <c r="J53" s="2">
        <v>7.3904886548977302</v>
      </c>
      <c r="K53" s="2">
        <v>11.4262987145569</v>
      </c>
      <c r="L53" s="2">
        <v>3.35467859523856</v>
      </c>
    </row>
    <row r="54" spans="1:12" x14ac:dyDescent="0.2">
      <c r="A54" s="2">
        <v>89711.762000000002</v>
      </c>
      <c r="B54" s="2">
        <v>2.64358713268006</v>
      </c>
      <c r="C54" s="2">
        <v>6.2649586669383899</v>
      </c>
      <c r="D54" s="2">
        <v>-0.97778440157826496</v>
      </c>
      <c r="E54" s="2">
        <v>95322.766000000003</v>
      </c>
      <c r="F54" s="2">
        <v>2.2204873335330402</v>
      </c>
      <c r="G54" s="2">
        <v>3.2228764379439201</v>
      </c>
      <c r="H54" s="2">
        <v>1.21809822912216</v>
      </c>
      <c r="I54" s="2">
        <v>93920.013999999996</v>
      </c>
      <c r="J54" s="2">
        <v>7.2966627014858503</v>
      </c>
      <c r="K54" s="2">
        <v>11.4072442975535</v>
      </c>
      <c r="L54" s="2">
        <v>3.1860811054182099</v>
      </c>
    </row>
    <row r="55" spans="1:12" x14ac:dyDescent="0.2">
      <c r="A55" s="2">
        <v>92517.263999999996</v>
      </c>
      <c r="B55" s="2">
        <v>2.44569552187285</v>
      </c>
      <c r="C55" s="2">
        <v>5.71188480706771</v>
      </c>
      <c r="D55" s="2">
        <v>-0.82049376332201196</v>
      </c>
      <c r="E55" s="2">
        <v>98128.267999999996</v>
      </c>
      <c r="F55" s="2">
        <v>2.2558568354012798</v>
      </c>
      <c r="G55" s="2">
        <v>3.3003864789005402</v>
      </c>
      <c r="H55" s="2">
        <v>1.2113271919020301</v>
      </c>
      <c r="I55" s="2">
        <v>95322.766000000003</v>
      </c>
      <c r="J55" s="2">
        <v>7.2025761435865201</v>
      </c>
      <c r="K55" s="2">
        <v>11.330492121686699</v>
      </c>
      <c r="L55" s="2">
        <v>3.0746601654863799</v>
      </c>
    </row>
    <row r="56" spans="1:12" x14ac:dyDescent="0.2">
      <c r="A56" s="2">
        <v>93920.013999999996</v>
      </c>
      <c r="B56" s="2">
        <v>2.34483735534188</v>
      </c>
      <c r="C56" s="2">
        <v>5.5347355095494999</v>
      </c>
      <c r="D56" s="2">
        <v>-0.84506079886573304</v>
      </c>
      <c r="E56" s="2">
        <v>100933.768</v>
      </c>
      <c r="F56" s="2">
        <v>2.2915695293813401</v>
      </c>
      <c r="G56" s="2">
        <v>3.3119600184045299</v>
      </c>
      <c r="H56" s="2">
        <v>1.27117904035814</v>
      </c>
      <c r="I56" s="2">
        <v>96725.516000000003</v>
      </c>
      <c r="J56" s="2">
        <v>7.1082292494910897</v>
      </c>
      <c r="K56" s="2">
        <v>11.3019207642987</v>
      </c>
      <c r="L56" s="2">
        <v>2.9145377346835399</v>
      </c>
    </row>
    <row r="57" spans="1:12" x14ac:dyDescent="0.2">
      <c r="A57" s="2">
        <v>95322.766000000003</v>
      </c>
      <c r="B57" s="2">
        <v>2.24270408844664</v>
      </c>
      <c r="C57" s="2">
        <v>5.3952478290377703</v>
      </c>
      <c r="D57" s="2">
        <v>-0.90983965214448603</v>
      </c>
      <c r="E57" s="2">
        <v>102336.52</v>
      </c>
      <c r="F57" s="2">
        <v>2.3095546085265499</v>
      </c>
      <c r="G57" s="2">
        <v>3.3109671017307098</v>
      </c>
      <c r="H57" s="2">
        <v>1.30814211532238</v>
      </c>
      <c r="I57" s="2">
        <v>98128.267999999996</v>
      </c>
      <c r="J57" s="2">
        <v>7.0136217501654796</v>
      </c>
      <c r="K57" s="2">
        <v>11.434113665660499</v>
      </c>
      <c r="L57" s="2">
        <v>2.5931298346704201</v>
      </c>
    </row>
    <row r="58" spans="1:12" x14ac:dyDescent="0.2">
      <c r="A58" s="2">
        <v>98128.267999999996</v>
      </c>
      <c r="B58" s="2">
        <v>2.0346128324014501</v>
      </c>
      <c r="C58" s="2">
        <v>5.3738388277633398</v>
      </c>
      <c r="D58" s="2">
        <v>-1.3046131629604401</v>
      </c>
      <c r="E58" s="2">
        <v>103739.27</v>
      </c>
      <c r="F58" s="2">
        <v>2.3276254663913201</v>
      </c>
      <c r="G58" s="2">
        <v>3.3323860590607399</v>
      </c>
      <c r="H58" s="2">
        <v>1.3228648737219</v>
      </c>
      <c r="I58" s="2">
        <v>100933.768</v>
      </c>
      <c r="J58" s="2">
        <v>6.8236256104514403</v>
      </c>
      <c r="K58" s="2">
        <v>11.1450228244848</v>
      </c>
      <c r="L58" s="2">
        <v>2.50222839641813</v>
      </c>
    </row>
    <row r="59" spans="1:12" x14ac:dyDescent="0.2">
      <c r="A59" s="2">
        <v>100933.768</v>
      </c>
      <c r="B59" s="2">
        <v>1.8214219075357601</v>
      </c>
      <c r="C59" s="2">
        <v>5.1129822160289704</v>
      </c>
      <c r="D59" s="2">
        <v>-1.4701384009574501</v>
      </c>
      <c r="E59" s="2">
        <v>106544.772</v>
      </c>
      <c r="F59" s="2">
        <v>2.3640246210945102</v>
      </c>
      <c r="G59" s="2">
        <v>3.3492338579647098</v>
      </c>
      <c r="H59" s="2">
        <v>1.37881538422432</v>
      </c>
      <c r="I59" s="2">
        <v>102336.52</v>
      </c>
      <c r="J59" s="2">
        <v>6.7282366991720801</v>
      </c>
      <c r="K59" s="2">
        <v>10.999639427323</v>
      </c>
      <c r="L59" s="2">
        <v>2.4568339710212102</v>
      </c>
    </row>
    <row r="60" spans="1:12" x14ac:dyDescent="0.2">
      <c r="A60" s="2">
        <v>102336.52</v>
      </c>
      <c r="B60" s="2">
        <v>1.7129138587312001</v>
      </c>
      <c r="C60" s="2">
        <v>4.9611984862185503</v>
      </c>
      <c r="D60" s="2">
        <v>-1.53537076875615</v>
      </c>
      <c r="E60" s="2">
        <v>107947.524</v>
      </c>
      <c r="F60" s="2">
        <v>2.3823529181776002</v>
      </c>
      <c r="G60" s="2">
        <v>3.4097834987861</v>
      </c>
      <c r="H60" s="2">
        <v>1.3549223375691</v>
      </c>
      <c r="I60" s="2">
        <v>102572.43700000001</v>
      </c>
      <c r="J60" s="2">
        <v>6.71216845768972</v>
      </c>
      <c r="K60" s="2">
        <v>10.9751337581413</v>
      </c>
      <c r="L60" s="2">
        <v>2.4492031572381001</v>
      </c>
    </row>
    <row r="61" spans="1:12" x14ac:dyDescent="0.2">
      <c r="A61" s="2">
        <v>103739.27</v>
      </c>
      <c r="B61" s="2">
        <v>1.6031310098881699</v>
      </c>
      <c r="C61" s="2">
        <v>4.8432907831388103</v>
      </c>
      <c r="D61" s="2">
        <v>-1.6370287633624601</v>
      </c>
      <c r="E61" s="2">
        <v>113558.526</v>
      </c>
      <c r="F61" s="2">
        <v>2.4565240719190502</v>
      </c>
      <c r="G61" s="2">
        <v>3.4714226466164502</v>
      </c>
      <c r="H61" s="2">
        <v>1.44162549722164</v>
      </c>
      <c r="I61" s="2">
        <v>105142.022</v>
      </c>
      <c r="J61" s="2">
        <v>6.5366776008478196</v>
      </c>
      <c r="K61" s="2">
        <v>10.8101730947437</v>
      </c>
      <c r="L61" s="2">
        <v>2.26318210695197</v>
      </c>
    </row>
    <row r="62" spans="1:12" x14ac:dyDescent="0.2">
      <c r="A62" s="2">
        <v>106544.772</v>
      </c>
      <c r="B62" s="2">
        <v>1.3797402896216</v>
      </c>
      <c r="C62" s="2">
        <v>4.66856153341321</v>
      </c>
      <c r="D62" s="2">
        <v>-1.90908095417001</v>
      </c>
      <c r="E62" s="2">
        <v>114961.27800000001</v>
      </c>
      <c r="F62" s="2">
        <v>2.4752813913633198</v>
      </c>
      <c r="G62" s="2">
        <v>3.4801951092258099</v>
      </c>
      <c r="H62" s="2">
        <v>1.47036767350083</v>
      </c>
      <c r="I62" s="2">
        <v>106544.772</v>
      </c>
      <c r="J62" s="2">
        <v>6.44050741454567</v>
      </c>
      <c r="K62" s="2">
        <v>10.8144367903766</v>
      </c>
      <c r="L62" s="2">
        <v>2.0665780387147299</v>
      </c>
    </row>
    <row r="63" spans="1:12" x14ac:dyDescent="0.2">
      <c r="A63" s="2">
        <v>107947.524</v>
      </c>
      <c r="B63" s="2">
        <v>1.2661324145624699</v>
      </c>
      <c r="C63" s="2">
        <v>4.67794148134774</v>
      </c>
      <c r="D63" s="2">
        <v>-2.1456766522228099</v>
      </c>
      <c r="E63" s="2">
        <v>121975.03200000001</v>
      </c>
      <c r="F63" s="2">
        <v>2.5703549745198901</v>
      </c>
      <c r="G63" s="2">
        <v>3.44297955151989</v>
      </c>
      <c r="H63" s="2">
        <v>1.6977303975198901</v>
      </c>
      <c r="I63" s="2">
        <v>107947.524</v>
      </c>
      <c r="J63" s="2">
        <v>6.3440766204137198</v>
      </c>
      <c r="K63" s="2">
        <v>10.914798217064501</v>
      </c>
      <c r="L63" s="2">
        <v>1.7733550237629401</v>
      </c>
    </row>
    <row r="64" spans="1:12" x14ac:dyDescent="0.2">
      <c r="A64" s="2">
        <v>113558.526</v>
      </c>
      <c r="B64" s="2">
        <v>0.79895185007640901</v>
      </c>
      <c r="C64" s="2">
        <v>4.3259008851729703</v>
      </c>
      <c r="D64" s="2">
        <v>-2.7279971850201599</v>
      </c>
      <c r="E64" s="2"/>
      <c r="F64" s="2"/>
      <c r="G64" s="2"/>
      <c r="H64" s="2"/>
      <c r="I64" s="2">
        <v>113558.526</v>
      </c>
      <c r="J64" s="2">
        <v>5.9557491523752102</v>
      </c>
      <c r="K64" s="2">
        <v>10.674404066674301</v>
      </c>
      <c r="L64" s="2">
        <v>1.2370942380760901</v>
      </c>
    </row>
    <row r="65" spans="1:12" x14ac:dyDescent="0.2">
      <c r="A65" s="2">
        <v>114961.27800000001</v>
      </c>
      <c r="B65" s="2">
        <v>0.67896919310795001</v>
      </c>
      <c r="C65" s="2">
        <v>4.2110900602146</v>
      </c>
      <c r="D65" s="2">
        <v>-2.8531516739987</v>
      </c>
      <c r="E65" s="2"/>
      <c r="F65" s="2"/>
      <c r="G65" s="2"/>
      <c r="H65" s="2"/>
      <c r="I65" s="2">
        <v>114961.27800000001</v>
      </c>
      <c r="J65" s="2">
        <v>5.8580160048632299</v>
      </c>
      <c r="K65" s="2">
        <v>10.6063137723126</v>
      </c>
      <c r="L65" s="2">
        <v>1.1097182374139101</v>
      </c>
    </row>
    <row r="66" spans="1:12" x14ac:dyDescent="0.2">
      <c r="A66" s="2">
        <v>121975.03200000001</v>
      </c>
      <c r="B66" s="2">
        <v>5.9932089373721402E-2</v>
      </c>
      <c r="C66" s="2">
        <v>3.40409608937372</v>
      </c>
      <c r="D66" s="2">
        <v>-3.2842319106262798</v>
      </c>
      <c r="E66" s="2"/>
      <c r="F66" s="2"/>
      <c r="G66" s="2"/>
      <c r="H66" s="2"/>
      <c r="I66" s="2">
        <v>121975.03200000001</v>
      </c>
      <c r="J66" s="2">
        <v>5.3654436279831303</v>
      </c>
      <c r="K66" s="2">
        <v>9.91086762798313</v>
      </c>
      <c r="L66" s="2">
        <v>0.820019627983125</v>
      </c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E8CD-F5BC-CE48-BD50-53D3E57C9475}">
  <sheetPr>
    <tabColor theme="0" tint="-0.499984740745262"/>
  </sheetPr>
  <dimension ref="A1:L101"/>
  <sheetViews>
    <sheetView workbookViewId="0">
      <selection activeCell="N2" sqref="N2:N3"/>
    </sheetView>
  </sheetViews>
  <sheetFormatPr baseColWidth="10" defaultColWidth="11" defaultRowHeight="16" x14ac:dyDescent="0.2"/>
  <cols>
    <col min="10" max="10" width="13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2" x14ac:dyDescent="0.2">
      <c r="A2" s="2">
        <v>8812.4539999999997</v>
      </c>
      <c r="B2" s="2">
        <v>8.1422730864366102</v>
      </c>
      <c r="C2" s="2">
        <v>10.477422086436601</v>
      </c>
      <c r="D2" s="2">
        <v>5.8071240864366098</v>
      </c>
      <c r="E2" s="2">
        <v>8812.4539999999997</v>
      </c>
      <c r="F2" s="2">
        <v>1.60930398941368</v>
      </c>
      <c r="G2" s="2">
        <v>2.1487446370136798</v>
      </c>
      <c r="H2" s="2">
        <v>1.06986334181367</v>
      </c>
      <c r="I2" s="2">
        <v>8812.4539999999997</v>
      </c>
      <c r="J2" s="2">
        <v>20.226134900750701</v>
      </c>
      <c r="K2" s="2">
        <v>24.555191896408999</v>
      </c>
      <c r="L2" s="2">
        <v>15.8970779050925</v>
      </c>
    </row>
    <row r="3" spans="1:12" x14ac:dyDescent="0.2">
      <c r="A3" s="2">
        <v>10988.071</v>
      </c>
      <c r="B3" s="2">
        <v>7.9489622131312299</v>
      </c>
      <c r="C3" s="2">
        <v>11.056144411641</v>
      </c>
      <c r="D3" s="2">
        <v>4.84178001462144</v>
      </c>
      <c r="E3" s="2">
        <v>9680.7530000000006</v>
      </c>
      <c r="F3" s="2">
        <v>1.5844394616869899</v>
      </c>
      <c r="G3" s="2">
        <v>2.1578311268927801</v>
      </c>
      <c r="H3" s="2">
        <v>1.0110477964811999</v>
      </c>
      <c r="I3" s="2">
        <v>10549.053</v>
      </c>
      <c r="J3" s="2">
        <v>19.2545155505438</v>
      </c>
      <c r="K3" s="2">
        <v>24.051083053909402</v>
      </c>
      <c r="L3" s="2">
        <v>14.4579480471781</v>
      </c>
    </row>
    <row r="4" spans="1:12" x14ac:dyDescent="0.2">
      <c r="A4" s="2">
        <v>13588.102000000001</v>
      </c>
      <c r="B4" s="2">
        <v>7.6910140598080901</v>
      </c>
      <c r="C4" s="2">
        <v>10.5224375603451</v>
      </c>
      <c r="D4" s="2">
        <v>4.8595905592710604</v>
      </c>
      <c r="E4" s="2">
        <v>12719.802</v>
      </c>
      <c r="F4" s="2">
        <v>1.5172573304669801</v>
      </c>
      <c r="G4" s="2">
        <v>2.1678468398458799</v>
      </c>
      <c r="H4" s="2">
        <v>0.86666782108806595</v>
      </c>
      <c r="I4" s="2">
        <v>13433.518</v>
      </c>
      <c r="J4" s="2">
        <v>17.746804772981601</v>
      </c>
      <c r="K4" s="2">
        <v>21.6993309911058</v>
      </c>
      <c r="L4" s="2">
        <v>13.794278554857399</v>
      </c>
    </row>
    <row r="5" spans="1:12" x14ac:dyDescent="0.2">
      <c r="A5" s="2">
        <v>14890.550999999999</v>
      </c>
      <c r="B5" s="2">
        <v>7.5507762305202899</v>
      </c>
      <c r="C5" s="2">
        <v>9.5756005663487809</v>
      </c>
      <c r="D5" s="2">
        <v>5.5259518946918096</v>
      </c>
      <c r="E5" s="2">
        <v>14022.251</v>
      </c>
      <c r="F5" s="2">
        <v>1.4979144200632899</v>
      </c>
      <c r="G5" s="2">
        <v>2.0495614038383101</v>
      </c>
      <c r="H5" s="2">
        <v>0.94626743628827104</v>
      </c>
      <c r="I5" s="2">
        <v>14890.550999999999</v>
      </c>
      <c r="J5" s="2">
        <v>17.035581553057298</v>
      </c>
      <c r="K5" s="2">
        <v>19.5965488606275</v>
      </c>
      <c r="L5" s="2">
        <v>14.474614245487</v>
      </c>
    </row>
    <row r="6" spans="1:12" x14ac:dyDescent="0.2">
      <c r="A6" s="2">
        <v>15758.85</v>
      </c>
      <c r="B6" s="2">
        <v>7.4531969481528799</v>
      </c>
      <c r="C6" s="2">
        <v>9.3804733452912092</v>
      </c>
      <c r="D6" s="2">
        <v>5.5259205510145604</v>
      </c>
      <c r="E6" s="2">
        <v>14890.550999999999</v>
      </c>
      <c r="F6" s="2">
        <v>1.48816894528361</v>
      </c>
      <c r="G6" s="2">
        <v>1.9120105774943501</v>
      </c>
      <c r="H6" s="2">
        <v>1.0643273130728701</v>
      </c>
      <c r="I6" s="2">
        <v>15758.85</v>
      </c>
      <c r="J6" s="2">
        <v>16.627814687985602</v>
      </c>
      <c r="K6" s="2">
        <v>18.987950035097299</v>
      </c>
      <c r="L6" s="2">
        <v>14.2676793408738</v>
      </c>
    </row>
    <row r="7" spans="1:12" x14ac:dyDescent="0.2">
      <c r="A7" s="2">
        <v>17495.45</v>
      </c>
      <c r="B7" s="2">
        <v>7.2482283051291203</v>
      </c>
      <c r="C7" s="2">
        <v>9.0363696499883197</v>
      </c>
      <c r="D7" s="2">
        <v>5.46008696026992</v>
      </c>
      <c r="E7" s="2">
        <v>15758.85</v>
      </c>
      <c r="F7" s="2">
        <v>1.48094332551416</v>
      </c>
      <c r="G7" s="2">
        <v>1.8839231699936601</v>
      </c>
      <c r="H7" s="2">
        <v>1.0779634810346601</v>
      </c>
      <c r="I7" s="2">
        <v>17495.45</v>
      </c>
      <c r="J7" s="2">
        <v>15.8482996947739</v>
      </c>
      <c r="K7" s="2">
        <v>18.026851213874401</v>
      </c>
      <c r="L7" s="2">
        <v>13.6697481756734</v>
      </c>
    </row>
    <row r="8" spans="1:12" x14ac:dyDescent="0.2">
      <c r="A8" s="2">
        <v>17929.599999999999</v>
      </c>
      <c r="B8" s="2">
        <v>7.1949424241033402</v>
      </c>
      <c r="C8" s="2">
        <v>8.7902497688142098</v>
      </c>
      <c r="D8" s="2">
        <v>5.5996350793924696</v>
      </c>
      <c r="E8" s="2">
        <v>17495.45</v>
      </c>
      <c r="F8" s="2">
        <v>1.47405161084906</v>
      </c>
      <c r="G8" s="2">
        <v>1.8948699980502901</v>
      </c>
      <c r="H8" s="2">
        <v>1.0532332236478299</v>
      </c>
      <c r="I8" s="2">
        <v>18363.749</v>
      </c>
      <c r="J8" s="2">
        <v>15.4765524643823</v>
      </c>
      <c r="K8" s="2">
        <v>17.301417999021801</v>
      </c>
      <c r="L8" s="2">
        <v>13.651686929742899</v>
      </c>
    </row>
    <row r="9" spans="1:12" x14ac:dyDescent="0.2">
      <c r="A9" s="2">
        <v>18363.749</v>
      </c>
      <c r="B9" s="2">
        <v>7.1408391805301701</v>
      </c>
      <c r="C9" s="2">
        <v>8.7497037168729594</v>
      </c>
      <c r="D9" s="2">
        <v>5.5319746441873896</v>
      </c>
      <c r="E9" s="2">
        <v>18363.749</v>
      </c>
      <c r="F9" s="2">
        <v>1.47438552389044</v>
      </c>
      <c r="G9" s="2">
        <v>1.83092373240699</v>
      </c>
      <c r="H9" s="2">
        <v>1.1178473153738799</v>
      </c>
      <c r="I9" s="2">
        <v>18797.899000000001</v>
      </c>
      <c r="J9" s="2">
        <v>15.295181092912101</v>
      </c>
      <c r="K9" s="2">
        <v>17.2884022105276</v>
      </c>
      <c r="L9" s="2">
        <v>13.301959975296599</v>
      </c>
    </row>
    <row r="10" spans="1:12" x14ac:dyDescent="0.2">
      <c r="A10" s="2">
        <v>18797.899000000001</v>
      </c>
      <c r="B10" s="2">
        <v>7.0859183251714803</v>
      </c>
      <c r="C10" s="2">
        <v>8.8494933043879396</v>
      </c>
      <c r="D10" s="2">
        <v>5.32234334595503</v>
      </c>
      <c r="E10" s="2">
        <v>18797.899000000001</v>
      </c>
      <c r="F10" s="2">
        <v>1.47549742293027</v>
      </c>
      <c r="G10" s="2">
        <v>1.8693782369955101</v>
      </c>
      <c r="H10" s="2">
        <v>1.0816166088650301</v>
      </c>
      <c r="I10" s="2">
        <v>19232.048999999999</v>
      </c>
      <c r="J10" s="2">
        <v>15.1168113622745</v>
      </c>
      <c r="K10" s="2">
        <v>17.187212639601299</v>
      </c>
      <c r="L10" s="2">
        <v>13.046410084947601</v>
      </c>
    </row>
    <row r="11" spans="1:12" x14ac:dyDescent="0.2">
      <c r="A11" s="2">
        <v>20100.348000000002</v>
      </c>
      <c r="B11" s="2">
        <v>6.9162509635401896</v>
      </c>
      <c r="C11" s="2">
        <v>9.2672241124763008</v>
      </c>
      <c r="D11" s="2">
        <v>4.5652778146040696</v>
      </c>
      <c r="E11" s="2">
        <v>19232.048999999999</v>
      </c>
      <c r="F11" s="2">
        <v>1.4772392840050199</v>
      </c>
      <c r="G11" s="2">
        <v>1.9002002898845101</v>
      </c>
      <c r="H11" s="2">
        <v>1.05427827812553</v>
      </c>
      <c r="I11" s="2">
        <v>20100.348000000002</v>
      </c>
      <c r="J11" s="2">
        <v>14.7690772170605</v>
      </c>
      <c r="K11" s="2">
        <v>17.261828544146599</v>
      </c>
      <c r="L11" s="2">
        <v>12.2763258899744</v>
      </c>
    </row>
    <row r="12" spans="1:12" x14ac:dyDescent="0.2">
      <c r="A12" s="2">
        <v>21043.111000000001</v>
      </c>
      <c r="B12" s="2">
        <v>6.78884895869371</v>
      </c>
      <c r="C12" s="2">
        <v>8.9984411601516907</v>
      </c>
      <c r="D12" s="2">
        <v>4.5792567572357301</v>
      </c>
      <c r="E12" s="2">
        <v>20100.348000000002</v>
      </c>
      <c r="F12" s="2">
        <v>1.4826128846195901</v>
      </c>
      <c r="G12" s="2">
        <v>1.9829746404097801</v>
      </c>
      <c r="H12" s="2">
        <v>0.98225112882941101</v>
      </c>
      <c r="I12" s="2">
        <v>21402.797999999999</v>
      </c>
      <c r="J12" s="2">
        <v>14.269987694397001</v>
      </c>
      <c r="K12" s="2">
        <v>16.337563261330502</v>
      </c>
      <c r="L12" s="2">
        <v>12.202412127463401</v>
      </c>
    </row>
    <row r="13" spans="1:12" x14ac:dyDescent="0.2">
      <c r="A13" s="2">
        <v>21836.948</v>
      </c>
      <c r="B13" s="2">
        <v>6.6785828112626797</v>
      </c>
      <c r="C13" s="2">
        <v>8.6974106925269492</v>
      </c>
      <c r="D13" s="2">
        <v>4.6597549299984102</v>
      </c>
      <c r="E13" s="2">
        <v>20570.545999999998</v>
      </c>
      <c r="F13" s="2">
        <v>1.4865745033833799</v>
      </c>
      <c r="G13" s="2">
        <v>1.99986189813361</v>
      </c>
      <c r="H13" s="2">
        <v>0.97328710863315504</v>
      </c>
      <c r="I13" s="2">
        <v>21836.948</v>
      </c>
      <c r="J13" s="2">
        <v>14.109627801840899</v>
      </c>
      <c r="K13" s="2">
        <v>16.127906518857699</v>
      </c>
      <c r="L13" s="2">
        <v>12.091349084824101</v>
      </c>
    </row>
    <row r="14" spans="1:12" x14ac:dyDescent="0.2">
      <c r="A14" s="2">
        <v>22705.246999999999</v>
      </c>
      <c r="B14" s="2">
        <v>6.55484395086647</v>
      </c>
      <c r="C14" s="2">
        <v>8.22697202431325</v>
      </c>
      <c r="D14" s="2">
        <v>4.8827158774196899</v>
      </c>
      <c r="E14" s="2">
        <v>21402.797999999999</v>
      </c>
      <c r="F14" s="2">
        <v>1.4953980079097899</v>
      </c>
      <c r="G14" s="2">
        <v>1.9338541823111901</v>
      </c>
      <c r="H14" s="2">
        <v>1.05694183350839</v>
      </c>
      <c r="I14" s="2">
        <v>22271.098000000002</v>
      </c>
      <c r="J14" s="2">
        <v>13.9522695501174</v>
      </c>
      <c r="K14" s="2">
        <v>15.8352258310209</v>
      </c>
      <c r="L14" s="2">
        <v>12.0693132692139</v>
      </c>
    </row>
    <row r="15" spans="1:12" x14ac:dyDescent="0.2">
      <c r="A15" s="2">
        <v>23573.546999999999</v>
      </c>
      <c r="B15" s="2">
        <v>6.4278349974142799</v>
      </c>
      <c r="C15" s="2">
        <v>8.0501255733142898</v>
      </c>
      <c r="D15" s="2">
        <v>4.80554442151427</v>
      </c>
      <c r="E15" s="2">
        <v>21836.948</v>
      </c>
      <c r="F15" s="2">
        <v>1.50091963974302</v>
      </c>
      <c r="G15" s="2">
        <v>1.9151378651700799</v>
      </c>
      <c r="H15" s="2">
        <v>1.0867014143159599</v>
      </c>
      <c r="I15" s="2">
        <v>22705.246999999999</v>
      </c>
      <c r="J15" s="2">
        <v>13.797913291307101</v>
      </c>
      <c r="K15" s="2">
        <v>15.459772596502701</v>
      </c>
      <c r="L15" s="2">
        <v>12.1360539861116</v>
      </c>
    </row>
    <row r="16" spans="1:12" x14ac:dyDescent="0.2">
      <c r="A16" s="2">
        <v>24007.697</v>
      </c>
      <c r="B16" s="2">
        <v>6.3631042885262801</v>
      </c>
      <c r="C16" s="2">
        <v>7.8428123478984801</v>
      </c>
      <c r="D16" s="2">
        <v>4.88339622915408</v>
      </c>
      <c r="E16" s="2">
        <v>22271.098000000002</v>
      </c>
      <c r="F16" s="2">
        <v>1.50707123361117</v>
      </c>
      <c r="G16" s="2">
        <v>1.92454175982711</v>
      </c>
      <c r="H16" s="2">
        <v>1.0896007073952401</v>
      </c>
      <c r="I16" s="2">
        <v>23139.397000000001</v>
      </c>
      <c r="J16" s="2">
        <v>13.6465583143349</v>
      </c>
      <c r="K16" s="2">
        <v>15.2199743143349</v>
      </c>
      <c r="L16" s="2">
        <v>12.0731423143349</v>
      </c>
    </row>
    <row r="17" spans="1:12" x14ac:dyDescent="0.2">
      <c r="A17" s="2">
        <v>24875.995999999999</v>
      </c>
      <c r="B17" s="2">
        <v>6.2311905602314397</v>
      </c>
      <c r="C17" s="2">
        <v>7.7349078805565998</v>
      </c>
      <c r="D17" s="2">
        <v>4.7274732399062902</v>
      </c>
      <c r="E17" s="2">
        <v>22705.246999999999</v>
      </c>
      <c r="F17" s="2">
        <v>1.5138527731684199</v>
      </c>
      <c r="G17" s="2">
        <v>1.86920306665572</v>
      </c>
      <c r="H17" s="2">
        <v>1.1585024796811301</v>
      </c>
      <c r="I17" s="2">
        <v>23573.546999999999</v>
      </c>
      <c r="J17" s="2">
        <v>13.4982049781953</v>
      </c>
      <c r="K17" s="2">
        <v>15.071702420423399</v>
      </c>
      <c r="L17" s="2">
        <v>11.9247075359673</v>
      </c>
    </row>
    <row r="18" spans="1:12" x14ac:dyDescent="0.2">
      <c r="A18" s="2">
        <v>25310.146000000001</v>
      </c>
      <c r="B18" s="2">
        <v>6.1640073889025997</v>
      </c>
      <c r="C18" s="2">
        <v>7.6798126499880004</v>
      </c>
      <c r="D18" s="2">
        <v>4.6482021278171999</v>
      </c>
      <c r="E18" s="2">
        <v>23573.546999999999</v>
      </c>
      <c r="F18" s="2">
        <v>1.5293057681772699</v>
      </c>
      <c r="G18" s="2">
        <v>1.90002057460534</v>
      </c>
      <c r="H18" s="2">
        <v>1.1585909617491901</v>
      </c>
      <c r="I18" s="2">
        <v>24007.697</v>
      </c>
      <c r="J18" s="2">
        <v>13.352853282888301</v>
      </c>
      <c r="K18" s="2">
        <v>14.7962708561589</v>
      </c>
      <c r="L18" s="2">
        <v>11.9094357096177</v>
      </c>
    </row>
    <row r="19" spans="1:12" x14ac:dyDescent="0.2">
      <c r="A19" s="2">
        <v>25744.295999999998</v>
      </c>
      <c r="B19" s="2">
        <v>6.0960067294658202</v>
      </c>
      <c r="C19" s="2">
        <v>7.6641646395068399</v>
      </c>
      <c r="D19" s="2">
        <v>4.5278488194247899</v>
      </c>
      <c r="E19" s="2">
        <v>24007.697</v>
      </c>
      <c r="F19" s="2">
        <v>1.53797720873407</v>
      </c>
      <c r="G19" s="2">
        <v>1.86388391377458</v>
      </c>
      <c r="H19" s="2">
        <v>1.21207050369355</v>
      </c>
      <c r="I19" s="2">
        <v>24875.995999999999</v>
      </c>
      <c r="J19" s="2">
        <v>13.071155132283399</v>
      </c>
      <c r="K19" s="2">
        <v>14.519573320907501</v>
      </c>
      <c r="L19" s="2">
        <v>11.6227369436593</v>
      </c>
    </row>
    <row r="20" spans="1:12" x14ac:dyDescent="0.2">
      <c r="A20" s="2">
        <v>26178.446</v>
      </c>
      <c r="B20" s="2">
        <v>6.0271885819211004</v>
      </c>
      <c r="C20" s="2">
        <v>7.6889269282807504</v>
      </c>
      <c r="D20" s="2">
        <v>4.3654502355614397</v>
      </c>
      <c r="E20" s="2">
        <v>24875.995999999999</v>
      </c>
      <c r="F20" s="2">
        <v>1.55720995235148</v>
      </c>
      <c r="G20" s="2">
        <v>1.88875213463672</v>
      </c>
      <c r="H20" s="2">
        <v>1.2256677700662499</v>
      </c>
      <c r="I20" s="2">
        <v>25310.146000000001</v>
      </c>
      <c r="J20" s="2">
        <v>12.9348083525602</v>
      </c>
      <c r="K20" s="2">
        <v>14.4311935744579</v>
      </c>
      <c r="L20" s="2">
        <v>11.438423130662599</v>
      </c>
    </row>
    <row r="21" spans="1:12" x14ac:dyDescent="0.2">
      <c r="A21" s="2">
        <v>27480.895</v>
      </c>
      <c r="B21" s="2">
        <v>5.8158293757420703</v>
      </c>
      <c r="C21" s="2">
        <v>7.8909318777986197</v>
      </c>
      <c r="D21" s="2">
        <v>3.7407268736855199</v>
      </c>
      <c r="E21" s="2">
        <v>25310.146000000001</v>
      </c>
      <c r="F21" s="2">
        <v>1.5677712775620101</v>
      </c>
      <c r="G21" s="2">
        <v>1.90784524688473</v>
      </c>
      <c r="H21" s="2">
        <v>1.2276973082392899</v>
      </c>
      <c r="I21" s="2">
        <v>25744.295999999998</v>
      </c>
      <c r="J21" s="2">
        <v>12.801463213669599</v>
      </c>
      <c r="K21" s="2">
        <v>14.347084274738</v>
      </c>
      <c r="L21" s="2">
        <v>11.2558421526013</v>
      </c>
    </row>
    <row r="22" spans="1:12" x14ac:dyDescent="0.2">
      <c r="A22" s="2">
        <v>27915.044999999998</v>
      </c>
      <c r="B22" s="2">
        <v>5.7437412776485699</v>
      </c>
      <c r="C22" s="2">
        <v>7.8351873674964203</v>
      </c>
      <c r="D22" s="2">
        <v>3.6522951878007199</v>
      </c>
      <c r="E22" s="2">
        <v>25744.295999999998</v>
      </c>
      <c r="F22" s="2">
        <v>1.5789625648074599</v>
      </c>
      <c r="G22" s="2">
        <v>1.9155336711055899</v>
      </c>
      <c r="H22" s="2">
        <v>1.2423914585093201</v>
      </c>
      <c r="I22" s="2">
        <v>26178.446</v>
      </c>
      <c r="J22" s="2">
        <v>12.671119715611599</v>
      </c>
      <c r="K22" s="2">
        <v>14.3560121780881</v>
      </c>
      <c r="L22" s="2">
        <v>10.9862272531351</v>
      </c>
    </row>
    <row r="23" spans="1:12" x14ac:dyDescent="0.2">
      <c r="A23" s="2">
        <v>28783.344000000001</v>
      </c>
      <c r="B23" s="2">
        <v>5.5971127878893903</v>
      </c>
      <c r="C23" s="2">
        <v>7.4665429251797502</v>
      </c>
      <c r="D23" s="2">
        <v>3.7276826505990202</v>
      </c>
      <c r="E23" s="2">
        <v>26178.446</v>
      </c>
      <c r="F23" s="2">
        <v>1.5907838140878201</v>
      </c>
      <c r="G23" s="2">
        <v>1.9729352479531801</v>
      </c>
      <c r="H23" s="2">
        <v>1.2086323802224599</v>
      </c>
      <c r="I23" s="2">
        <v>27046.744999999999</v>
      </c>
      <c r="J23" s="2">
        <v>12.4194379249356</v>
      </c>
      <c r="K23" s="2">
        <v>14.434755166849</v>
      </c>
      <c r="L23" s="2">
        <v>10.4041206830222</v>
      </c>
    </row>
    <row r="24" spans="1:12" x14ac:dyDescent="0.2">
      <c r="A24" s="2">
        <v>29217.493999999999</v>
      </c>
      <c r="B24" s="2">
        <v>5.5225722273550399</v>
      </c>
      <c r="C24" s="2">
        <v>7.1496677928347196</v>
      </c>
      <c r="D24" s="2">
        <v>3.8954766618753598</v>
      </c>
      <c r="E24" s="2">
        <v>27480.895</v>
      </c>
      <c r="F24" s="2">
        <v>1.63002730183135</v>
      </c>
      <c r="G24" s="2">
        <v>2.0581279612154</v>
      </c>
      <c r="H24" s="2">
        <v>1.2019266424473001</v>
      </c>
      <c r="I24" s="2">
        <v>27480.895</v>
      </c>
      <c r="J24" s="2">
        <v>12.2980993424614</v>
      </c>
      <c r="K24" s="2">
        <v>14.2803744415486</v>
      </c>
      <c r="L24" s="2">
        <v>10.3158242433742</v>
      </c>
    </row>
    <row r="25" spans="1:12" x14ac:dyDescent="0.2">
      <c r="A25" s="2">
        <v>29651.644</v>
      </c>
      <c r="B25" s="2">
        <v>5.4472141787127599</v>
      </c>
      <c r="C25" s="2">
        <v>7.13010401632246</v>
      </c>
      <c r="D25" s="2">
        <v>3.76432434110305</v>
      </c>
      <c r="E25" s="2">
        <v>27915.044999999998</v>
      </c>
      <c r="F25" s="2">
        <v>1.64436839780036</v>
      </c>
      <c r="G25" s="2">
        <v>2.0684246449483799</v>
      </c>
      <c r="H25" s="2">
        <v>1.22031215065234</v>
      </c>
      <c r="I25" s="2">
        <v>27915.044999999998</v>
      </c>
      <c r="J25" s="2">
        <v>12.179762400819801</v>
      </c>
      <c r="K25" s="2">
        <v>14.2204218559291</v>
      </c>
      <c r="L25" s="2">
        <v>10.1391029457105</v>
      </c>
    </row>
    <row r="26" spans="1:12" x14ac:dyDescent="0.2">
      <c r="A26" s="2">
        <v>30085.794000000002</v>
      </c>
      <c r="B26" s="2">
        <v>5.3710386419625404</v>
      </c>
      <c r="C26" s="2">
        <v>7.0669614397048699</v>
      </c>
      <c r="D26" s="2">
        <v>3.6751158442202101</v>
      </c>
      <c r="E26" s="2">
        <v>28783.344000000001</v>
      </c>
      <c r="F26" s="2">
        <v>1.6749404391830001</v>
      </c>
      <c r="G26" s="2">
        <v>2.05425646692705</v>
      </c>
      <c r="H26" s="2">
        <v>1.2956244114389399</v>
      </c>
      <c r="I26" s="2">
        <v>28349.194</v>
      </c>
      <c r="J26" s="2">
        <v>12.0644273622116</v>
      </c>
      <c r="K26" s="2">
        <v>14.119742516518</v>
      </c>
      <c r="L26" s="2">
        <v>10.009112207905201</v>
      </c>
    </row>
    <row r="27" spans="1:12" x14ac:dyDescent="0.2">
      <c r="A27" s="2">
        <v>30954.093000000001</v>
      </c>
      <c r="B27" s="2">
        <v>5.2162352843047302</v>
      </c>
      <c r="C27" s="2">
        <v>6.8746286363068299</v>
      </c>
      <c r="D27" s="2">
        <v>3.5578419323026198</v>
      </c>
      <c r="E27" s="2">
        <v>29217.493999999999</v>
      </c>
      <c r="F27" s="2">
        <v>1.6911714198057399</v>
      </c>
      <c r="G27" s="2">
        <v>2.0121082715747298</v>
      </c>
      <c r="H27" s="2">
        <v>1.37023456803674</v>
      </c>
      <c r="I27" s="2">
        <v>28783.344000000001</v>
      </c>
      <c r="J27" s="2">
        <v>11.9520936953214</v>
      </c>
      <c r="K27" s="2">
        <v>13.793243891757401</v>
      </c>
      <c r="L27" s="2">
        <v>10.110943498885399</v>
      </c>
    </row>
    <row r="28" spans="1:12" x14ac:dyDescent="0.2">
      <c r="A28" s="2">
        <v>31822.393</v>
      </c>
      <c r="B28" s="2">
        <v>5.0581617978146598</v>
      </c>
      <c r="C28" s="2">
        <v>6.6899228436549798</v>
      </c>
      <c r="D28" s="2">
        <v>3.42640075197435</v>
      </c>
      <c r="E28" s="2">
        <v>29651.644</v>
      </c>
      <c r="F28" s="2">
        <v>1.7080323624634</v>
      </c>
      <c r="G28" s="2">
        <v>2.0261917477856799</v>
      </c>
      <c r="H28" s="2">
        <v>1.38987297714111</v>
      </c>
      <c r="I28" s="2">
        <v>29217.493999999999</v>
      </c>
      <c r="J28" s="2">
        <v>11.8427616692637</v>
      </c>
      <c r="K28" s="2">
        <v>13.4672251259855</v>
      </c>
      <c r="L28" s="2">
        <v>10.2182982125418</v>
      </c>
    </row>
    <row r="29" spans="1:12" x14ac:dyDescent="0.2">
      <c r="A29" s="2">
        <v>32256.543000000001</v>
      </c>
      <c r="B29" s="2">
        <v>4.9778988224077301</v>
      </c>
      <c r="C29" s="2">
        <v>6.5110083520186901</v>
      </c>
      <c r="D29" s="2">
        <v>3.4447892927967598</v>
      </c>
      <c r="E29" s="2">
        <v>30085.794000000002</v>
      </c>
      <c r="F29" s="2">
        <v>1.7255232671559699</v>
      </c>
      <c r="G29" s="2">
        <v>2.05001077484342</v>
      </c>
      <c r="H29" s="2">
        <v>1.4010357594685301</v>
      </c>
      <c r="I29" s="2">
        <v>29651.644</v>
      </c>
      <c r="J29" s="2">
        <v>11.736431284038501</v>
      </c>
      <c r="K29" s="2">
        <v>13.3285537116841</v>
      </c>
      <c r="L29" s="2">
        <v>10.144308856393</v>
      </c>
    </row>
    <row r="30" spans="1:12" x14ac:dyDescent="0.2">
      <c r="A30" s="2">
        <v>32690.691999999999</v>
      </c>
      <c r="B30" s="2">
        <v>4.8968185465911303</v>
      </c>
      <c r="C30" s="2">
        <v>6.4170560480451302</v>
      </c>
      <c r="D30" s="2">
        <v>3.3765810451371299</v>
      </c>
      <c r="E30" s="2">
        <v>30880.155999999999</v>
      </c>
      <c r="F30" s="2">
        <v>1.75915709187652</v>
      </c>
      <c r="G30" s="2">
        <v>2.0610758806464302</v>
      </c>
      <c r="H30" s="2">
        <v>1.4572383031066001</v>
      </c>
      <c r="I30" s="2">
        <v>30085.794000000002</v>
      </c>
      <c r="J30" s="2">
        <v>11.633102539646</v>
      </c>
      <c r="K30" s="2">
        <v>13.3348376856969</v>
      </c>
      <c r="L30" s="2">
        <v>9.9313673935950497</v>
      </c>
    </row>
    <row r="31" spans="1:12" x14ac:dyDescent="0.2">
      <c r="A31" s="2">
        <v>33124.841999999997</v>
      </c>
      <c r="B31" s="2">
        <v>4.8149205968512803</v>
      </c>
      <c r="C31" s="2">
        <v>6.4059201576024796</v>
      </c>
      <c r="D31" s="2">
        <v>3.2239210361000898</v>
      </c>
      <c r="E31" s="2">
        <v>30954.093000000001</v>
      </c>
      <c r="F31" s="2">
        <v>1.76239491873062</v>
      </c>
      <c r="G31" s="2">
        <v>2.0727741919581901</v>
      </c>
      <c r="H31" s="2">
        <v>1.4520156455030599</v>
      </c>
      <c r="I31" s="2">
        <v>30519.944</v>
      </c>
      <c r="J31" s="2">
        <v>11.532775436086</v>
      </c>
      <c r="K31" s="2">
        <v>13.203784395178401</v>
      </c>
      <c r="L31" s="2">
        <v>9.8617664769935907</v>
      </c>
    </row>
    <row r="32" spans="1:12" x14ac:dyDescent="0.2">
      <c r="A32" s="2">
        <v>33558.991999999998</v>
      </c>
      <c r="B32" s="2">
        <v>4.7322051590034997</v>
      </c>
      <c r="C32" s="2">
        <v>6.1848852924072597</v>
      </c>
      <c r="D32" s="2">
        <v>3.2795250255997499</v>
      </c>
      <c r="E32" s="2">
        <v>31822.393</v>
      </c>
      <c r="F32" s="2">
        <v>1.8017864594581501</v>
      </c>
      <c r="G32" s="2">
        <v>2.1074392217532498</v>
      </c>
      <c r="H32" s="2">
        <v>1.4961336971630499</v>
      </c>
      <c r="I32" s="2">
        <v>30954.093000000001</v>
      </c>
      <c r="J32" s="2">
        <v>11.435450194076401</v>
      </c>
      <c r="K32" s="2">
        <v>13.075787205365099</v>
      </c>
      <c r="L32" s="2">
        <v>9.7951131827876399</v>
      </c>
    </row>
    <row r="33" spans="1:12" x14ac:dyDescent="0.2">
      <c r="A33" s="2">
        <v>33993.142</v>
      </c>
      <c r="B33" s="2">
        <v>4.6486722330477797</v>
      </c>
      <c r="C33" s="2">
        <v>5.8828431633631402</v>
      </c>
      <c r="D33" s="2">
        <v>3.4145013027324298</v>
      </c>
      <c r="E33" s="2">
        <v>32256.543000000001</v>
      </c>
      <c r="F33" s="2">
        <v>1.8224271728743</v>
      </c>
      <c r="G33" s="2">
        <v>2.1085160314020102</v>
      </c>
      <c r="H33" s="2">
        <v>1.5363383143465801</v>
      </c>
      <c r="I33" s="2">
        <v>31822.393</v>
      </c>
      <c r="J33" s="2">
        <v>11.249804177291599</v>
      </c>
      <c r="K33" s="2">
        <v>12.8779449884493</v>
      </c>
      <c r="L33" s="2">
        <v>9.6216633661338005</v>
      </c>
    </row>
    <row r="34" spans="1:12" x14ac:dyDescent="0.2">
      <c r="A34" s="2">
        <v>34427.292000000001</v>
      </c>
      <c r="B34" s="2">
        <v>4.5643218189841299</v>
      </c>
      <c r="C34" s="2">
        <v>5.8281937570716398</v>
      </c>
      <c r="D34" s="2">
        <v>3.3004498808966201</v>
      </c>
      <c r="E34" s="2">
        <v>32690.691999999999</v>
      </c>
      <c r="F34" s="2">
        <v>1.8436977986060099</v>
      </c>
      <c r="G34" s="2">
        <v>2.1363838298198998</v>
      </c>
      <c r="H34" s="2">
        <v>1.55101176739212</v>
      </c>
      <c r="I34" s="2">
        <v>32256.543000000001</v>
      </c>
      <c r="J34" s="2">
        <v>11.161483630148</v>
      </c>
      <c r="K34" s="2">
        <v>12.8091043381263</v>
      </c>
      <c r="L34" s="2">
        <v>9.5138629221697197</v>
      </c>
    </row>
    <row r="35" spans="1:12" x14ac:dyDescent="0.2">
      <c r="A35" s="2">
        <v>34861.442000000003</v>
      </c>
      <c r="B35" s="2">
        <v>4.4791539168125398</v>
      </c>
      <c r="C35" s="2">
        <v>5.8526941174085003</v>
      </c>
      <c r="D35" s="2">
        <v>3.1056137162165798</v>
      </c>
      <c r="E35" s="2">
        <v>33124.841999999997</v>
      </c>
      <c r="F35" s="2">
        <v>1.86559843464096</v>
      </c>
      <c r="G35" s="2">
        <v>2.16485178712019</v>
      </c>
      <c r="H35" s="2">
        <v>1.56634508216173</v>
      </c>
      <c r="I35" s="2">
        <v>32690.691999999999</v>
      </c>
      <c r="J35" s="2">
        <v>11.076164916899501</v>
      </c>
      <c r="K35" s="2">
        <v>12.7947833365749</v>
      </c>
      <c r="L35" s="2">
        <v>9.3575464972241704</v>
      </c>
    </row>
    <row r="36" spans="1:12" x14ac:dyDescent="0.2">
      <c r="A36" s="2">
        <v>35295.591</v>
      </c>
      <c r="B36" s="2">
        <v>4.3931687255290601</v>
      </c>
      <c r="C36" s="2">
        <v>5.6739228983912797</v>
      </c>
      <c r="D36" s="2">
        <v>3.1124145526668299</v>
      </c>
      <c r="E36" s="2">
        <v>33558.991999999998</v>
      </c>
      <c r="F36" s="2">
        <v>1.88812903271083</v>
      </c>
      <c r="G36" s="2">
        <v>2.1599501143048698</v>
      </c>
      <c r="H36" s="2">
        <v>1.6163079511167999</v>
      </c>
      <c r="I36" s="2">
        <v>33124.841999999997</v>
      </c>
      <c r="J36" s="2">
        <v>10.9938476445073</v>
      </c>
      <c r="K36" s="2">
        <v>12.734535587431701</v>
      </c>
      <c r="L36" s="2">
        <v>9.2531597015828595</v>
      </c>
    </row>
    <row r="37" spans="1:12" x14ac:dyDescent="0.2">
      <c r="A37" s="2">
        <v>35729.741000000002</v>
      </c>
      <c r="B37" s="2">
        <v>4.3063658490245604</v>
      </c>
      <c r="C37" s="2">
        <v>5.8129154038620596</v>
      </c>
      <c r="D37" s="2">
        <v>2.7998162941870501</v>
      </c>
      <c r="E37" s="2">
        <v>33993.142</v>
      </c>
      <c r="F37" s="2">
        <v>1.9112895928156199</v>
      </c>
      <c r="G37" s="2">
        <v>2.14764744116713</v>
      </c>
      <c r="H37" s="2">
        <v>1.6749317444641201</v>
      </c>
      <c r="I37" s="2">
        <v>33558.991999999998</v>
      </c>
      <c r="J37" s="2">
        <v>10.9145320129476</v>
      </c>
      <c r="K37" s="2">
        <v>12.5226635143654</v>
      </c>
      <c r="L37" s="2">
        <v>9.3064005115298496</v>
      </c>
    </row>
    <row r="38" spans="1:12" x14ac:dyDescent="0.2">
      <c r="A38" s="2">
        <v>36163.891000000003</v>
      </c>
      <c r="B38" s="2">
        <v>4.2187454844121204</v>
      </c>
      <c r="C38" s="2">
        <v>5.9464345727336001</v>
      </c>
      <c r="D38" s="2">
        <v>2.4910563960906398</v>
      </c>
      <c r="E38" s="2">
        <v>34427.292000000001</v>
      </c>
      <c r="F38" s="2">
        <v>1.9350801149553301</v>
      </c>
      <c r="G38" s="2">
        <v>2.1951987765074898</v>
      </c>
      <c r="H38" s="2">
        <v>1.67496145340317</v>
      </c>
      <c r="I38" s="2">
        <v>33993.142</v>
      </c>
      <c r="J38" s="2">
        <v>10.8382180222205</v>
      </c>
      <c r="K38" s="2">
        <v>12.2579621849241</v>
      </c>
      <c r="L38" s="2">
        <v>9.4184738595169399</v>
      </c>
    </row>
    <row r="39" spans="1:12" x14ac:dyDescent="0.2">
      <c r="A39" s="2">
        <v>36598.04</v>
      </c>
      <c r="B39" s="2">
        <v>4.1303078363366801</v>
      </c>
      <c r="C39" s="2">
        <v>5.8411347269563896</v>
      </c>
      <c r="D39" s="2">
        <v>2.4194809457169599</v>
      </c>
      <c r="E39" s="2">
        <v>34861.442000000003</v>
      </c>
      <c r="F39" s="2">
        <v>1.9595005991299601</v>
      </c>
      <c r="G39" s="2">
        <v>2.2181375459845798</v>
      </c>
      <c r="H39" s="2">
        <v>1.70086365227533</v>
      </c>
      <c r="I39" s="2">
        <v>34427.292000000001</v>
      </c>
      <c r="J39" s="2">
        <v>10.764905672326</v>
      </c>
      <c r="K39" s="2">
        <v>12.3111980392514</v>
      </c>
      <c r="L39" s="2">
        <v>9.2186133054004795</v>
      </c>
    </row>
    <row r="40" spans="1:12" x14ac:dyDescent="0.2">
      <c r="A40" s="2">
        <v>37032.19</v>
      </c>
      <c r="B40" s="2">
        <v>4.0410524973913304</v>
      </c>
      <c r="C40" s="2">
        <v>5.6578989392379198</v>
      </c>
      <c r="D40" s="2">
        <v>2.4242060555447398</v>
      </c>
      <c r="E40" s="2">
        <v>35295.591</v>
      </c>
      <c r="F40" s="2">
        <v>1.9845509869140101</v>
      </c>
      <c r="G40" s="2">
        <v>2.23348978940174</v>
      </c>
      <c r="H40" s="2">
        <v>1.73561218442627</v>
      </c>
      <c r="I40" s="2">
        <v>34861.442000000003</v>
      </c>
      <c r="J40" s="2">
        <v>10.694594963264</v>
      </c>
      <c r="K40" s="2">
        <v>12.342260483493</v>
      </c>
      <c r="L40" s="2">
        <v>9.0469294430349301</v>
      </c>
    </row>
    <row r="41" spans="1:12" x14ac:dyDescent="0.2">
      <c r="A41" s="2">
        <v>37466.339999999997</v>
      </c>
      <c r="B41" s="2">
        <v>3.9509796703380502</v>
      </c>
      <c r="C41" s="2">
        <v>5.4752758919908899</v>
      </c>
      <c r="D41" s="2">
        <v>2.42668344868521</v>
      </c>
      <c r="E41" s="2">
        <v>35729.741000000002</v>
      </c>
      <c r="F41" s="2">
        <v>2.0102313937074499</v>
      </c>
      <c r="G41" s="2">
        <v>2.2991711865703599</v>
      </c>
      <c r="H41" s="2">
        <v>1.72129160084454</v>
      </c>
      <c r="I41" s="2">
        <v>35295.591</v>
      </c>
      <c r="J41" s="2">
        <v>10.627286046614101</v>
      </c>
      <c r="K41" s="2">
        <v>12.218900264098</v>
      </c>
      <c r="L41" s="2">
        <v>9.0356718291302105</v>
      </c>
    </row>
    <row r="42" spans="1:12" x14ac:dyDescent="0.2">
      <c r="A42" s="2">
        <v>37900.49</v>
      </c>
      <c r="B42" s="2">
        <v>3.8600893551768301</v>
      </c>
      <c r="C42" s="2">
        <v>5.4064295454029399</v>
      </c>
      <c r="D42" s="2">
        <v>2.3137491649507198</v>
      </c>
      <c r="E42" s="2">
        <v>36598.04</v>
      </c>
      <c r="F42" s="2">
        <v>2.0634820306205199</v>
      </c>
      <c r="G42" s="2">
        <v>2.3987897727807201</v>
      </c>
      <c r="H42" s="2">
        <v>1.72817428846032</v>
      </c>
      <c r="I42" s="2">
        <v>35729.741000000002</v>
      </c>
      <c r="J42" s="2">
        <v>10.5629786123034</v>
      </c>
      <c r="K42" s="2">
        <v>12.4002318815348</v>
      </c>
      <c r="L42" s="2">
        <v>8.7257253430721295</v>
      </c>
    </row>
    <row r="43" spans="1:12" x14ac:dyDescent="0.2">
      <c r="A43" s="2">
        <v>38334.639999999999</v>
      </c>
      <c r="B43" s="2">
        <v>3.7683815519076802</v>
      </c>
      <c r="C43" s="2">
        <v>5.1865784277462099</v>
      </c>
      <c r="D43" s="2">
        <v>2.3501846760691398</v>
      </c>
      <c r="E43" s="2">
        <v>37032.19</v>
      </c>
      <c r="F43" s="2">
        <v>2.09105232206768</v>
      </c>
      <c r="G43" s="2">
        <v>2.4086523287490702</v>
      </c>
      <c r="H43" s="2">
        <v>1.7734523153863</v>
      </c>
      <c r="I43" s="2">
        <v>36598.04</v>
      </c>
      <c r="J43" s="2">
        <v>10.4433687970179</v>
      </c>
      <c r="K43" s="2">
        <v>12.623104711807599</v>
      </c>
      <c r="L43" s="2">
        <v>8.2636328822281602</v>
      </c>
    </row>
    <row r="44" spans="1:12" x14ac:dyDescent="0.2">
      <c r="A44" s="2">
        <v>38768.79</v>
      </c>
      <c r="B44" s="2">
        <v>3.6758562605305798</v>
      </c>
      <c r="C44" s="2">
        <v>5.0051013102909696</v>
      </c>
      <c r="D44" s="2">
        <v>2.3466112107702002</v>
      </c>
      <c r="E44" s="2">
        <v>37466.339999999997</v>
      </c>
      <c r="F44" s="2">
        <v>2.11925257554977</v>
      </c>
      <c r="G44" s="2">
        <v>2.4193807443036901</v>
      </c>
      <c r="H44" s="2">
        <v>1.8191244067958501</v>
      </c>
      <c r="I44" s="2">
        <v>36778.936000000002</v>
      </c>
      <c r="J44" s="2">
        <v>10.4199612768154</v>
      </c>
      <c r="K44" s="2">
        <v>12.486341564619099</v>
      </c>
      <c r="L44" s="2">
        <v>8.3535809890117605</v>
      </c>
    </row>
    <row r="45" spans="1:12" x14ac:dyDescent="0.2">
      <c r="A45" s="2">
        <v>39202.938999999998</v>
      </c>
      <c r="B45" s="2">
        <v>3.5825136969882601</v>
      </c>
      <c r="C45" s="2">
        <v>5.0069155674699202</v>
      </c>
      <c r="D45" s="2">
        <v>2.1581118265065902</v>
      </c>
      <c r="E45" s="2">
        <v>37900.49</v>
      </c>
      <c r="F45" s="2">
        <v>2.1480827910667699</v>
      </c>
      <c r="G45" s="2">
        <v>2.45520579273377</v>
      </c>
      <c r="H45" s="2">
        <v>1.84095978939978</v>
      </c>
      <c r="I45" s="2">
        <v>37032.19</v>
      </c>
      <c r="J45" s="2">
        <v>10.388066278291101</v>
      </c>
      <c r="K45" s="2">
        <v>12.444644983644</v>
      </c>
      <c r="L45" s="2">
        <v>8.3314875729381299</v>
      </c>
    </row>
    <row r="46" spans="1:12" x14ac:dyDescent="0.2">
      <c r="A46" s="2">
        <v>39637.089</v>
      </c>
      <c r="B46" s="2">
        <v>3.4883534312782598</v>
      </c>
      <c r="C46" s="2">
        <v>4.9692702501531096</v>
      </c>
      <c r="D46" s="2">
        <v>2.0074366124034002</v>
      </c>
      <c r="E46" s="2">
        <v>38334.639999999999</v>
      </c>
      <c r="F46" s="2">
        <v>2.17754296861869</v>
      </c>
      <c r="G46" s="2">
        <v>2.4594828888610301</v>
      </c>
      <c r="H46" s="2">
        <v>1.89560304837636</v>
      </c>
      <c r="I46" s="2">
        <v>37466.339999999997</v>
      </c>
      <c r="J46" s="2">
        <v>10.3357654003969</v>
      </c>
      <c r="K46" s="2">
        <v>12.2710308739944</v>
      </c>
      <c r="L46" s="2">
        <v>8.4004999267992702</v>
      </c>
    </row>
    <row r="47" spans="1:12" x14ac:dyDescent="0.2">
      <c r="A47" s="2">
        <v>40071.239000000001</v>
      </c>
      <c r="B47" s="2">
        <v>3.3933756774603201</v>
      </c>
      <c r="C47" s="2">
        <v>4.85764422879096</v>
      </c>
      <c r="D47" s="2">
        <v>1.9291071261296699</v>
      </c>
      <c r="E47" s="2">
        <v>38768.79</v>
      </c>
      <c r="F47" s="2">
        <v>2.2076331082055298</v>
      </c>
      <c r="G47" s="2">
        <v>2.4887285467180602</v>
      </c>
      <c r="H47" s="2">
        <v>1.9265376696930101</v>
      </c>
      <c r="I47" s="2">
        <v>37900.49</v>
      </c>
      <c r="J47" s="2">
        <v>10.2864661633352</v>
      </c>
      <c r="K47" s="2">
        <v>12.2060019443408</v>
      </c>
      <c r="L47" s="2">
        <v>8.3669303823296204</v>
      </c>
    </row>
    <row r="48" spans="1:12" x14ac:dyDescent="0.2">
      <c r="A48" s="2">
        <v>40505.389000000003</v>
      </c>
      <c r="B48" s="2">
        <v>3.29758043553444</v>
      </c>
      <c r="C48" s="2">
        <v>4.8156936710843103</v>
      </c>
      <c r="D48" s="2">
        <v>1.7794671999845799</v>
      </c>
      <c r="E48" s="2">
        <v>39202.938999999998</v>
      </c>
      <c r="F48" s="2">
        <v>2.2383531383425899</v>
      </c>
      <c r="G48" s="2">
        <v>2.5347157439893202</v>
      </c>
      <c r="H48" s="2">
        <v>1.94199053269586</v>
      </c>
      <c r="I48" s="2">
        <v>38334.639999999999</v>
      </c>
      <c r="J48" s="2">
        <v>10.2401685671061</v>
      </c>
      <c r="K48" s="2">
        <v>12.041177806376901</v>
      </c>
      <c r="L48" s="2">
        <v>8.4391593278353003</v>
      </c>
    </row>
    <row r="49" spans="1:12" x14ac:dyDescent="0.2">
      <c r="A49" s="2">
        <v>40939.538</v>
      </c>
      <c r="B49" s="2">
        <v>3.2009679289751798</v>
      </c>
      <c r="C49" s="2">
        <v>4.7711618815113903</v>
      </c>
      <c r="D49" s="2">
        <v>1.6307739764389599</v>
      </c>
      <c r="E49" s="2">
        <v>39364.057000000001</v>
      </c>
      <c r="F49" s="2">
        <v>2.2499139900828902</v>
      </c>
      <c r="G49" s="2">
        <v>2.5620111407622699</v>
      </c>
      <c r="H49" s="2">
        <v>1.9378168394035</v>
      </c>
      <c r="I49" s="2">
        <v>38768.79</v>
      </c>
      <c r="J49" s="2">
        <v>10.196872611709599</v>
      </c>
      <c r="K49" s="2">
        <v>11.932186931708999</v>
      </c>
      <c r="L49" s="2">
        <v>8.4615582917101708</v>
      </c>
    </row>
    <row r="50" spans="1:12" x14ac:dyDescent="0.2">
      <c r="A50" s="2">
        <v>41373.688000000002</v>
      </c>
      <c r="B50" s="2">
        <v>3.1035377127163999</v>
      </c>
      <c r="C50" s="2">
        <v>4.5171597036894697</v>
      </c>
      <c r="D50" s="2">
        <v>1.6899157217433201</v>
      </c>
      <c r="E50" s="2">
        <v>39637.089</v>
      </c>
      <c r="F50" s="2">
        <v>2.26970320054824</v>
      </c>
      <c r="G50" s="2">
        <v>2.5893404774202402</v>
      </c>
      <c r="H50" s="2">
        <v>1.9500659236762401</v>
      </c>
      <c r="I50" s="2">
        <v>39202.938999999998</v>
      </c>
      <c r="J50" s="2">
        <v>10.1565783865007</v>
      </c>
      <c r="K50" s="2">
        <v>11.9283867216117</v>
      </c>
      <c r="L50" s="2">
        <v>8.3847700513897401</v>
      </c>
    </row>
    <row r="51" spans="1:12" x14ac:dyDescent="0.2">
      <c r="A51" s="2">
        <v>41807.838000000003</v>
      </c>
      <c r="B51" s="2">
        <v>3.0052900083496801</v>
      </c>
      <c r="C51" s="2">
        <v>4.3677347488587603</v>
      </c>
      <c r="D51" s="2">
        <v>1.64284526784059</v>
      </c>
      <c r="E51" s="2">
        <v>40071.239000000001</v>
      </c>
      <c r="F51" s="2">
        <v>2.3016832247888099</v>
      </c>
      <c r="G51" s="2">
        <v>2.6126962753182599</v>
      </c>
      <c r="H51" s="2">
        <v>1.99067017425936</v>
      </c>
      <c r="I51" s="2">
        <v>39370.678999999996</v>
      </c>
      <c r="J51" s="2">
        <v>10.141814006420899</v>
      </c>
      <c r="K51" s="2">
        <v>12.0594228585304</v>
      </c>
      <c r="L51" s="2">
        <v>8.2242051543113899</v>
      </c>
    </row>
    <row r="52" spans="1:12" x14ac:dyDescent="0.2">
      <c r="A52" s="2">
        <v>42241.987999999998</v>
      </c>
      <c r="B52" s="2">
        <v>2.9062248158750199</v>
      </c>
      <c r="C52" s="2">
        <v>4.5209831701010996</v>
      </c>
      <c r="D52" s="2">
        <v>1.29146646164895</v>
      </c>
      <c r="E52" s="2">
        <v>40505.389000000003</v>
      </c>
      <c r="F52" s="2">
        <v>2.3342932110643</v>
      </c>
      <c r="G52" s="2">
        <v>2.6606977041483302</v>
      </c>
      <c r="H52" s="2">
        <v>2.00788871798026</v>
      </c>
      <c r="I52" s="2">
        <v>39637.089</v>
      </c>
      <c r="J52" s="2">
        <v>10.1192857058555</v>
      </c>
      <c r="K52" s="2">
        <v>11.9770823968</v>
      </c>
      <c r="L52" s="2">
        <v>8.2614890149110298</v>
      </c>
    </row>
    <row r="53" spans="1:12" x14ac:dyDescent="0.2">
      <c r="A53" s="2">
        <v>43978.587</v>
      </c>
      <c r="B53" s="2">
        <v>2.5017894015523199</v>
      </c>
      <c r="C53" s="2">
        <v>5.2797858660461703</v>
      </c>
      <c r="D53" s="2">
        <v>-0.27620706294153302</v>
      </c>
      <c r="E53" s="2">
        <v>40939.538</v>
      </c>
      <c r="F53" s="2">
        <v>2.36753308208591</v>
      </c>
      <c r="G53" s="2">
        <v>2.7093876712873901</v>
      </c>
      <c r="H53" s="2">
        <v>2.02567849288442</v>
      </c>
      <c r="I53" s="2">
        <v>40071.239000000001</v>
      </c>
      <c r="J53" s="2">
        <v>10.084994666042901</v>
      </c>
      <c r="K53" s="2">
        <v>11.977453022468399</v>
      </c>
      <c r="L53" s="2">
        <v>8.19253630961739</v>
      </c>
    </row>
    <row r="54" spans="1:12" x14ac:dyDescent="0.2">
      <c r="A54" s="2">
        <v>47017.635999999999</v>
      </c>
      <c r="B54" s="2">
        <v>1.76255398320205</v>
      </c>
      <c r="C54" s="2">
        <v>4.2995059832020601</v>
      </c>
      <c r="D54" s="2">
        <v>-0.77439801679794595</v>
      </c>
      <c r="E54" s="2">
        <v>41373.688000000002</v>
      </c>
      <c r="F54" s="2">
        <v>2.4014029909802099</v>
      </c>
      <c r="G54" s="2">
        <v>2.7190733165032999</v>
      </c>
      <c r="H54" s="2">
        <v>2.0837326654571098</v>
      </c>
      <c r="I54" s="2">
        <v>40408.692000000003</v>
      </c>
      <c r="J54" s="2">
        <v>10.0604144445917</v>
      </c>
      <c r="K54" s="2">
        <v>11.940870624086299</v>
      </c>
      <c r="L54" s="2">
        <v>8.1799582650971203</v>
      </c>
    </row>
    <row r="55" spans="1:12" x14ac:dyDescent="0.2">
      <c r="A55" s="2"/>
      <c r="B55" s="2"/>
      <c r="C55" s="2"/>
      <c r="D55" s="2"/>
      <c r="E55" s="2">
        <v>41807.838000000003</v>
      </c>
      <c r="F55" s="2">
        <v>2.4359028619094198</v>
      </c>
      <c r="G55" s="2">
        <v>2.7454084009614301</v>
      </c>
      <c r="H55" s="2">
        <v>2.12639732285741</v>
      </c>
      <c r="I55" s="2">
        <v>40939.538</v>
      </c>
      <c r="J55" s="2">
        <v>10.025417570615</v>
      </c>
      <c r="K55" s="2">
        <v>11.985126768543701</v>
      </c>
      <c r="L55" s="2">
        <v>8.0657083726863696</v>
      </c>
    </row>
    <row r="56" spans="1:12" x14ac:dyDescent="0.2">
      <c r="A56" s="2"/>
      <c r="B56" s="2"/>
      <c r="C56" s="2"/>
      <c r="D56" s="2"/>
      <c r="E56" s="2">
        <v>42241.987999999998</v>
      </c>
      <c r="F56" s="2">
        <v>2.4710326948735601</v>
      </c>
      <c r="G56" s="2">
        <v>2.8359484270735602</v>
      </c>
      <c r="H56" s="2">
        <v>2.1061169626735601</v>
      </c>
      <c r="I56" s="2">
        <v>41373.688000000002</v>
      </c>
      <c r="J56" s="2">
        <v>10.0001314463863</v>
      </c>
      <c r="K56" s="2">
        <v>11.846669586524801</v>
      </c>
      <c r="L56" s="2">
        <v>8.1535933062477692</v>
      </c>
    </row>
    <row r="57" spans="1:12" x14ac:dyDescent="0.2">
      <c r="A57" s="2"/>
      <c r="B57" s="2"/>
      <c r="C57" s="2"/>
      <c r="D57" s="2"/>
      <c r="E57" s="2">
        <v>43978.587</v>
      </c>
      <c r="F57" s="2">
        <v>2.6178515596333098</v>
      </c>
      <c r="G57" s="2">
        <v>3.23770935026592</v>
      </c>
      <c r="H57" s="2">
        <v>1.9979937690007099</v>
      </c>
      <c r="I57" s="2">
        <v>41807.838000000003</v>
      </c>
      <c r="J57" s="2">
        <v>9.9778469629900801</v>
      </c>
      <c r="K57" s="2">
        <v>11.6647306294422</v>
      </c>
      <c r="L57" s="2">
        <v>8.2909632965379405</v>
      </c>
    </row>
    <row r="58" spans="1:12" x14ac:dyDescent="0.2">
      <c r="A58" s="2"/>
      <c r="B58" s="2"/>
      <c r="C58" s="2"/>
      <c r="D58" s="2"/>
      <c r="E58" s="2">
        <v>45281.036</v>
      </c>
      <c r="F58" s="2">
        <v>2.7345802790021398</v>
      </c>
      <c r="G58" s="2">
        <v>3.4931521277184601</v>
      </c>
      <c r="H58" s="2">
        <v>1.9760084302858301</v>
      </c>
      <c r="I58" s="2">
        <v>42241.987999999998</v>
      </c>
      <c r="J58" s="2">
        <v>9.9585641204264501</v>
      </c>
      <c r="K58" s="2">
        <v>12.061915112948</v>
      </c>
      <c r="L58" s="2">
        <v>7.8552131279049</v>
      </c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>
        <v>43978.587</v>
      </c>
      <c r="J59" s="2">
        <v>9.9114491718005606</v>
      </c>
      <c r="K59" s="2">
        <v>13.4273867596175</v>
      </c>
      <c r="L59" s="2">
        <v>6.3955115839836703</v>
      </c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>
        <v>46995.928</v>
      </c>
      <c r="J60" s="2">
        <v>9.9438030110061106</v>
      </c>
      <c r="K60" s="2">
        <v>13.3965770110061</v>
      </c>
      <c r="L60" s="2">
        <v>6.49102901100611</v>
      </c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FAB3-3CFB-9444-B5F7-18914B973006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cols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9.5000000000000001E-2</v>
      </c>
      <c r="B2" s="2">
        <v>8.6965101624481704</v>
      </c>
      <c r="C2" s="2">
        <v>14.837087162448199</v>
      </c>
      <c r="D2" s="2">
        <v>2.55593316244817</v>
      </c>
      <c r="E2" s="2">
        <v>9.5000000000000001E-2</v>
      </c>
      <c r="F2" s="2">
        <v>0.68599353303847399</v>
      </c>
      <c r="G2" s="2">
        <v>2.1297905604384701</v>
      </c>
      <c r="H2" s="2">
        <v>-0.75780349436152605</v>
      </c>
      <c r="I2" s="2">
        <v>9.5000000000000001E-2</v>
      </c>
      <c r="J2" s="2">
        <v>18.8443017292823</v>
      </c>
      <c r="K2" s="2">
        <v>27.6729137292823</v>
      </c>
      <c r="L2" s="2">
        <v>10.0156897292823</v>
      </c>
      <c r="N2">
        <f>MIN(J:J)</f>
        <v>11.5092637023316</v>
      </c>
    </row>
    <row r="3" spans="1:14" x14ac:dyDescent="0.2">
      <c r="A3" s="2">
        <v>0.19500000000000001</v>
      </c>
      <c r="B3" s="2">
        <v>7.4619642842452496</v>
      </c>
      <c r="C3" s="2">
        <v>12.371206461278801</v>
      </c>
      <c r="D3" s="2">
        <v>2.5527221072117401</v>
      </c>
      <c r="E3" s="2">
        <v>0.19500000000000001</v>
      </c>
      <c r="F3" s="2">
        <v>0.87146043694622599</v>
      </c>
      <c r="G3" s="2">
        <v>2.10515618604656</v>
      </c>
      <c r="H3" s="2">
        <v>-0.36223531215410998</v>
      </c>
      <c r="I3" s="2">
        <v>0.19500000000000001</v>
      </c>
      <c r="J3" s="2">
        <v>16.421791704842502</v>
      </c>
      <c r="K3" s="2">
        <v>23.503940113073298</v>
      </c>
      <c r="L3" s="2">
        <v>9.3396432966116407</v>
      </c>
      <c r="N3">
        <f>MAX(J:J)</f>
        <v>18.8443017292823</v>
      </c>
    </row>
    <row r="4" spans="1:14" x14ac:dyDescent="0.2">
      <c r="A4" s="2">
        <v>0.29499999999999998</v>
      </c>
      <c r="B4" s="2">
        <v>6.4797661722454896</v>
      </c>
      <c r="C4" s="2">
        <v>10.6355873290407</v>
      </c>
      <c r="D4" s="2">
        <v>2.3239450154502399</v>
      </c>
      <c r="E4" s="2">
        <v>0.29499999999999998</v>
      </c>
      <c r="F4" s="2">
        <v>1.05182615966063</v>
      </c>
      <c r="G4" s="2">
        <v>2.11981486400061</v>
      </c>
      <c r="H4" s="2">
        <v>-1.6162544679347E-2</v>
      </c>
      <c r="I4" s="2">
        <v>0.29499999999999998</v>
      </c>
      <c r="J4" s="2">
        <v>14.479283155048501</v>
      </c>
      <c r="K4" s="2">
        <v>20.3856683196998</v>
      </c>
      <c r="L4" s="2">
        <v>8.5728979903972693</v>
      </c>
    </row>
    <row r="5" spans="1:14" x14ac:dyDescent="0.2">
      <c r="A5" s="2">
        <v>0.39500000000000002</v>
      </c>
      <c r="B5" s="2">
        <v>5.7499158264488797</v>
      </c>
      <c r="C5" s="2">
        <v>8.9144017527574402</v>
      </c>
      <c r="D5" s="2">
        <v>2.5854299001403098</v>
      </c>
      <c r="E5" s="2">
        <v>0.39500000000000002</v>
      </c>
      <c r="F5" s="2">
        <v>1.2270907011816901</v>
      </c>
      <c r="G5" s="2">
        <v>2.04974189690956</v>
      </c>
      <c r="H5" s="2">
        <v>0.40443950545381402</v>
      </c>
      <c r="I5" s="2">
        <v>0.39500000000000002</v>
      </c>
      <c r="J5" s="2">
        <v>13.016776079900501</v>
      </c>
      <c r="K5" s="2">
        <v>17.3548610730092</v>
      </c>
      <c r="L5" s="2">
        <v>8.6786910867916909</v>
      </c>
    </row>
    <row r="6" spans="1:14" x14ac:dyDescent="0.2">
      <c r="A6" s="2">
        <v>0.495</v>
      </c>
      <c r="B6" s="2">
        <v>5.2724132468554199</v>
      </c>
      <c r="C6" s="2">
        <v>8.04008512006118</v>
      </c>
      <c r="D6" s="2">
        <v>2.5047413736496602</v>
      </c>
      <c r="E6" s="2">
        <v>0.495</v>
      </c>
      <c r="F6" s="2">
        <v>1.3972540615094</v>
      </c>
      <c r="G6" s="2">
        <v>2.1556220147304299</v>
      </c>
      <c r="H6" s="2">
        <v>0.63888610828836601</v>
      </c>
      <c r="I6" s="2">
        <v>0.495</v>
      </c>
      <c r="J6" s="2">
        <v>12.0342704793983</v>
      </c>
      <c r="K6" s="2">
        <v>15.6916262435285</v>
      </c>
      <c r="L6" s="2">
        <v>8.3769147152680699</v>
      </c>
    </row>
    <row r="7" spans="1:14" x14ac:dyDescent="0.2">
      <c r="A7" s="2">
        <v>0.69499999999999995</v>
      </c>
      <c r="B7" s="2">
        <v>5.0744513862779801</v>
      </c>
      <c r="C7" s="2">
        <v>8.2540343161569592</v>
      </c>
      <c r="D7" s="2">
        <v>1.8948684563989999</v>
      </c>
      <c r="E7" s="2">
        <v>0.69499999999999995</v>
      </c>
      <c r="F7" s="2">
        <v>1.72227723858478</v>
      </c>
      <c r="G7" s="2">
        <v>2.6941756475298</v>
      </c>
      <c r="H7" s="2">
        <v>0.75037882963976199</v>
      </c>
      <c r="I7" s="2">
        <v>0.69499999999999995</v>
      </c>
      <c r="J7" s="2">
        <v>11.5092637023316</v>
      </c>
      <c r="K7" s="2">
        <v>16.005094941828499</v>
      </c>
      <c r="L7" s="2">
        <v>7.0134324628347597</v>
      </c>
    </row>
    <row r="8" spans="1:14" x14ac:dyDescent="0.2">
      <c r="A8" s="2">
        <v>0.79500000000000004</v>
      </c>
      <c r="B8" s="2">
        <v>5.3539921052939903</v>
      </c>
      <c r="C8" s="2">
        <v>8.9747217420603693</v>
      </c>
      <c r="D8" s="2">
        <v>1.7332624685276099</v>
      </c>
      <c r="E8" s="2">
        <v>0.79500000000000004</v>
      </c>
      <c r="F8" s="2">
        <v>1.87713705533245</v>
      </c>
      <c r="G8" s="2">
        <v>2.9464779106196901</v>
      </c>
      <c r="H8" s="2">
        <v>0.80779620004521102</v>
      </c>
      <c r="I8" s="2">
        <v>0.79500000000000004</v>
      </c>
      <c r="J8" s="2">
        <v>11.9667625257672</v>
      </c>
      <c r="K8" s="2">
        <v>17.317376572396999</v>
      </c>
      <c r="L8" s="2">
        <v>6.61614847913732</v>
      </c>
    </row>
    <row r="9" spans="1:14" x14ac:dyDescent="0.2">
      <c r="A9" s="2">
        <v>0.89500000000000002</v>
      </c>
      <c r="B9" s="2">
        <v>5.8858805905131604</v>
      </c>
      <c r="C9" s="2">
        <v>13.062440317864599</v>
      </c>
      <c r="D9" s="2">
        <v>-1.2906791368382999</v>
      </c>
      <c r="E9" s="2">
        <v>0.89500000000000002</v>
      </c>
      <c r="F9" s="2">
        <v>2.0268956908867701</v>
      </c>
      <c r="G9" s="2">
        <v>3.9161272410596299</v>
      </c>
      <c r="H9" s="2">
        <v>0.137664140713914</v>
      </c>
      <c r="I9" s="2">
        <v>0.89500000000000002</v>
      </c>
      <c r="J9" s="2">
        <v>12.904262823848599</v>
      </c>
      <c r="K9" s="2">
        <v>22.869791341964198</v>
      </c>
      <c r="L9" s="2">
        <v>2.9387343057329902</v>
      </c>
    </row>
    <row r="10" spans="1:14" x14ac:dyDescent="0.2">
      <c r="A10" s="2">
        <v>0.995</v>
      </c>
      <c r="B10" s="2">
        <v>6.6701168419354904</v>
      </c>
      <c r="C10" s="2">
        <v>11.1674408419355</v>
      </c>
      <c r="D10" s="2">
        <v>2.17279284193549</v>
      </c>
      <c r="E10" s="2">
        <v>0.995</v>
      </c>
      <c r="F10" s="2">
        <v>2.1715531452477501</v>
      </c>
      <c r="G10" s="2">
        <v>3.2504344404477501</v>
      </c>
      <c r="H10" s="2">
        <v>1.0926718500477499</v>
      </c>
      <c r="I10" s="2">
        <v>0.995</v>
      </c>
      <c r="J10" s="2">
        <v>14.3217645965759</v>
      </c>
      <c r="K10" s="2">
        <v>20.7902525965759</v>
      </c>
      <c r="L10" s="2">
        <v>7.8532765965758999</v>
      </c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EB9D-8A06-1C40-9777-61C7C9A2DB24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cols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4.8819999999999997</v>
      </c>
      <c r="B2" s="2">
        <v>10.4562113731546</v>
      </c>
      <c r="C2" s="2">
        <v>14.1388641677511</v>
      </c>
      <c r="D2" s="2">
        <v>6.77355857855816</v>
      </c>
      <c r="E2" s="2">
        <v>4.8479999999999999</v>
      </c>
      <c r="F2" s="2">
        <v>1.1461000595820501</v>
      </c>
      <c r="G2" s="2">
        <v>1.9155962774820501</v>
      </c>
      <c r="H2" s="2">
        <v>0.37660384168205002</v>
      </c>
      <c r="I2" s="2">
        <v>4.8819999999999997</v>
      </c>
      <c r="J2" s="2">
        <v>16.072729703721201</v>
      </c>
      <c r="K2" s="2">
        <v>22.6641017423688</v>
      </c>
      <c r="L2" s="2">
        <v>9.4813576650736202</v>
      </c>
      <c r="N2">
        <f>MIN(J:J)</f>
        <v>9.6760082295600096</v>
      </c>
    </row>
    <row r="3" spans="1:14" x14ac:dyDescent="0.2">
      <c r="A3" s="2">
        <v>5.4950000000000001</v>
      </c>
      <c r="B3" s="2">
        <v>10.277191656062801</v>
      </c>
      <c r="C3" s="2">
        <v>14.0507939665202</v>
      </c>
      <c r="D3" s="2">
        <v>6.5035893456053904</v>
      </c>
      <c r="E3" s="2">
        <v>5.2720000000000002</v>
      </c>
      <c r="F3" s="2">
        <v>1.1594235801994901</v>
      </c>
      <c r="G3" s="2">
        <v>1.95097439936412</v>
      </c>
      <c r="H3" s="2">
        <v>0.36787276103486999</v>
      </c>
      <c r="I3" s="2">
        <v>5.4950000000000001</v>
      </c>
      <c r="J3" s="2">
        <v>15.899833665821101</v>
      </c>
      <c r="K3" s="2">
        <v>22.496845033119399</v>
      </c>
      <c r="L3" s="2">
        <v>9.3028222985227398</v>
      </c>
      <c r="N3">
        <f>MAX(J:J)</f>
        <v>16.072729703721201</v>
      </c>
    </row>
    <row r="4" spans="1:14" x14ac:dyDescent="0.2">
      <c r="A4" s="2">
        <v>6.3479999999999999</v>
      </c>
      <c r="B4" s="2">
        <v>10.0335274179915</v>
      </c>
      <c r="C4" s="2">
        <v>13.9109329452242</v>
      </c>
      <c r="D4" s="2">
        <v>6.15612189075887</v>
      </c>
      <c r="E4" s="2">
        <v>5.9560000000000004</v>
      </c>
      <c r="F4" s="2">
        <v>1.1807216881845299</v>
      </c>
      <c r="G4" s="2">
        <v>2.0065521778124702</v>
      </c>
      <c r="H4" s="2">
        <v>0.35489119855658702</v>
      </c>
      <c r="I4" s="2">
        <v>6.1079999999999997</v>
      </c>
      <c r="J4" s="2">
        <v>15.729305379217999</v>
      </c>
      <c r="K4" s="2">
        <v>22.532159424197602</v>
      </c>
      <c r="L4" s="2">
        <v>8.9264513342384095</v>
      </c>
    </row>
    <row r="5" spans="1:14" x14ac:dyDescent="0.2">
      <c r="A5" s="2">
        <v>7.3339999999999996</v>
      </c>
      <c r="B5" s="2">
        <v>9.7597660310268601</v>
      </c>
      <c r="C5" s="2">
        <v>13.592032273879401</v>
      </c>
      <c r="D5" s="2">
        <v>5.9274997881742699</v>
      </c>
      <c r="E5" s="2">
        <v>7.3230000000000004</v>
      </c>
      <c r="F5" s="2">
        <v>1.2225635368655301</v>
      </c>
      <c r="G5" s="2">
        <v>2.0938867175698901</v>
      </c>
      <c r="H5" s="2">
        <v>0.351240356161166</v>
      </c>
      <c r="I5" s="2">
        <v>7.3339999999999996</v>
      </c>
      <c r="J5" s="2">
        <v>15.3953520599032</v>
      </c>
      <c r="K5" s="2">
        <v>21.934287332788301</v>
      </c>
      <c r="L5" s="2">
        <v>8.8564167870180999</v>
      </c>
    </row>
    <row r="6" spans="1:14" x14ac:dyDescent="0.2">
      <c r="A6" s="2">
        <v>7.9459999999999997</v>
      </c>
      <c r="B6" s="2">
        <v>9.5941033530290998</v>
      </c>
      <c r="C6" s="2">
        <v>13.412969183577401</v>
      </c>
      <c r="D6" s="2">
        <v>5.7752375224808397</v>
      </c>
      <c r="E6" s="2">
        <v>8.0069999999999997</v>
      </c>
      <c r="F6" s="2">
        <v>1.2431378860828399</v>
      </c>
      <c r="G6" s="2">
        <v>2.1082851355224599</v>
      </c>
      <c r="H6" s="2">
        <v>0.37799063664322702</v>
      </c>
      <c r="I6" s="2">
        <v>7.9459999999999997</v>
      </c>
      <c r="J6" s="2">
        <v>15.2321916978086</v>
      </c>
      <c r="K6" s="2">
        <v>21.6451625375127</v>
      </c>
      <c r="L6" s="2">
        <v>8.81922085810446</v>
      </c>
    </row>
    <row r="7" spans="1:14" x14ac:dyDescent="0.2">
      <c r="A7" s="2">
        <v>8.56</v>
      </c>
      <c r="B7" s="2">
        <v>9.4311768862024294</v>
      </c>
      <c r="C7" s="2">
        <v>13.1714975321696</v>
      </c>
      <c r="D7" s="2">
        <v>5.6908562402352603</v>
      </c>
      <c r="E7" s="2">
        <v>8.69</v>
      </c>
      <c r="F7" s="2">
        <v>1.2634413143561201</v>
      </c>
      <c r="G7" s="2">
        <v>2.1305022518469801</v>
      </c>
      <c r="H7" s="2">
        <v>0.39638037686524702</v>
      </c>
      <c r="I7" s="2">
        <v>8.56</v>
      </c>
      <c r="J7" s="2">
        <v>15.070869745776699</v>
      </c>
      <c r="K7" s="2">
        <v>21.299050514396299</v>
      </c>
      <c r="L7" s="2">
        <v>8.84268897715706</v>
      </c>
    </row>
    <row r="8" spans="1:14" x14ac:dyDescent="0.2">
      <c r="A8" s="2">
        <v>9.1720000000000006</v>
      </c>
      <c r="B8" s="2">
        <v>9.2720480407541803</v>
      </c>
      <c r="C8" s="2">
        <v>12.871307051347101</v>
      </c>
      <c r="D8" s="2">
        <v>5.6727890301612298</v>
      </c>
      <c r="E8" s="2">
        <v>9.3740000000000006</v>
      </c>
      <c r="F8" s="2">
        <v>1.28353327535525</v>
      </c>
      <c r="G8" s="2">
        <v>2.1437273538361699</v>
      </c>
      <c r="H8" s="2">
        <v>0.42333919687433302</v>
      </c>
      <c r="I8" s="2">
        <v>9.1720000000000006</v>
      </c>
      <c r="J8" s="2">
        <v>14.9124371611497</v>
      </c>
      <c r="K8" s="2">
        <v>20.840201839033</v>
      </c>
      <c r="L8" s="2">
        <v>8.9846724832663298</v>
      </c>
    </row>
    <row r="9" spans="1:14" x14ac:dyDescent="0.2">
      <c r="A9" s="2">
        <v>9.7850000000000001</v>
      </c>
      <c r="B9" s="2">
        <v>9.1159287661765909</v>
      </c>
      <c r="C9" s="2">
        <v>12.5782326207348</v>
      </c>
      <c r="D9" s="2">
        <v>5.6536249116183699</v>
      </c>
      <c r="E9" s="2">
        <v>9.5709999999999997</v>
      </c>
      <c r="F9" s="2">
        <v>1.28927522541356</v>
      </c>
      <c r="G9" s="2">
        <v>2.1351274133235201</v>
      </c>
      <c r="H9" s="2">
        <v>0.44342303750359802</v>
      </c>
      <c r="I9" s="2">
        <v>10.398</v>
      </c>
      <c r="J9" s="2">
        <v>14.602153629679099</v>
      </c>
      <c r="K9" s="2">
        <v>19.960244802013001</v>
      </c>
      <c r="L9" s="2">
        <v>9.2440624573450592</v>
      </c>
    </row>
    <row r="10" spans="1:14" x14ac:dyDescent="0.2">
      <c r="A10" s="2">
        <v>10.398</v>
      </c>
      <c r="B10" s="2">
        <v>8.9630817459722305</v>
      </c>
      <c r="C10" s="2">
        <v>12.292449134800499</v>
      </c>
      <c r="D10" s="2">
        <v>5.633714357144</v>
      </c>
      <c r="E10" s="2">
        <v>10.742000000000001</v>
      </c>
      <c r="F10" s="2">
        <v>1.3229930857048899</v>
      </c>
      <c r="G10" s="2">
        <v>2.1066278462199501</v>
      </c>
      <c r="H10" s="2">
        <v>0.53935832518982896</v>
      </c>
      <c r="I10" s="2">
        <v>11.012</v>
      </c>
      <c r="J10" s="2">
        <v>14.450318133088601</v>
      </c>
      <c r="K10" s="2">
        <v>19.5385089850984</v>
      </c>
      <c r="L10" s="2">
        <v>9.3621272810788696</v>
      </c>
    </row>
    <row r="11" spans="1:14" x14ac:dyDescent="0.2">
      <c r="A11" s="2">
        <v>11.012</v>
      </c>
      <c r="B11" s="2">
        <v>8.8132656490324806</v>
      </c>
      <c r="C11" s="2">
        <v>11.9818177874757</v>
      </c>
      <c r="D11" s="2">
        <v>5.6447135105892201</v>
      </c>
      <c r="E11" s="2">
        <v>11.426</v>
      </c>
      <c r="F11" s="2">
        <v>1.34236093505538</v>
      </c>
      <c r="G11" s="2">
        <v>2.10831871006945</v>
      </c>
      <c r="H11" s="2">
        <v>0.57640316004132097</v>
      </c>
      <c r="I11" s="2">
        <v>11.624000000000001</v>
      </c>
      <c r="J11" s="2">
        <v>14.301341103396799</v>
      </c>
      <c r="K11" s="2">
        <v>19.072725981171899</v>
      </c>
      <c r="L11" s="2">
        <v>9.5299562256216497</v>
      </c>
    </row>
    <row r="12" spans="1:14" x14ac:dyDescent="0.2">
      <c r="A12" s="2">
        <v>12.238</v>
      </c>
      <c r="B12" s="2">
        <v>8.5239435566869695</v>
      </c>
      <c r="C12" s="2">
        <v>11.3526365064728</v>
      </c>
      <c r="D12" s="2">
        <v>5.6952506069011202</v>
      </c>
      <c r="E12" s="2">
        <v>12.11</v>
      </c>
      <c r="F12" s="2">
        <v>1.36148741385633</v>
      </c>
      <c r="G12" s="2">
        <v>2.1091657212575701</v>
      </c>
      <c r="H12" s="2">
        <v>0.61380910645509301</v>
      </c>
      <c r="I12" s="2">
        <v>12.238</v>
      </c>
      <c r="J12" s="2">
        <v>14.154248834527101</v>
      </c>
      <c r="K12" s="2">
        <v>18.6197703708911</v>
      </c>
      <c r="L12" s="2">
        <v>9.6887272981631298</v>
      </c>
    </row>
    <row r="13" spans="1:14" x14ac:dyDescent="0.2">
      <c r="A13" s="2">
        <v>12.85</v>
      </c>
      <c r="B13" s="2">
        <v>8.3844162088872505</v>
      </c>
      <c r="C13" s="2">
        <v>11.095789960785501</v>
      </c>
      <c r="D13" s="2">
        <v>5.6730424569889699</v>
      </c>
      <c r="E13" s="2">
        <v>12.792999999999999</v>
      </c>
      <c r="F13" s="2">
        <v>1.3803450884828501</v>
      </c>
      <c r="G13" s="2">
        <v>2.0909091736674998</v>
      </c>
      <c r="H13" s="2">
        <v>0.669781003298207</v>
      </c>
      <c r="I13" s="2">
        <v>12.85</v>
      </c>
      <c r="J13" s="2">
        <v>14.0099995823028</v>
      </c>
      <c r="K13" s="2">
        <v>18.290422002834202</v>
      </c>
      <c r="L13" s="2">
        <v>9.7295771617714699</v>
      </c>
    </row>
    <row r="14" spans="1:14" x14ac:dyDescent="0.2">
      <c r="A14" s="2">
        <v>13.462</v>
      </c>
      <c r="B14" s="2">
        <v>8.2481504479719501</v>
      </c>
      <c r="C14" s="2">
        <v>10.8453475109745</v>
      </c>
      <c r="D14" s="2">
        <v>5.65095338496939</v>
      </c>
      <c r="E14" s="2">
        <v>13.477</v>
      </c>
      <c r="F14" s="2">
        <v>1.3989891790656299</v>
      </c>
      <c r="G14" s="2">
        <v>2.0806515819295499</v>
      </c>
      <c r="H14" s="2">
        <v>0.71732677620170204</v>
      </c>
      <c r="I14" s="2">
        <v>13.462</v>
      </c>
      <c r="J14" s="2">
        <v>13.868110362550199</v>
      </c>
      <c r="K14" s="2">
        <v>17.9161236167865</v>
      </c>
      <c r="L14" s="2">
        <v>9.8200971083138295</v>
      </c>
    </row>
    <row r="15" spans="1:14" x14ac:dyDescent="0.2">
      <c r="A15" s="2">
        <v>14.076000000000001</v>
      </c>
      <c r="B15" s="2">
        <v>8.1147169665842096</v>
      </c>
      <c r="C15" s="2">
        <v>10.5703430375015</v>
      </c>
      <c r="D15" s="2">
        <v>5.6590908956669299</v>
      </c>
      <c r="E15" s="2">
        <v>14.161</v>
      </c>
      <c r="F15" s="2">
        <v>1.4173918990988501</v>
      </c>
      <c r="G15" s="2">
        <v>2.09728455584266</v>
      </c>
      <c r="H15" s="2">
        <v>0.73749924235504505</v>
      </c>
      <c r="I15" s="2">
        <v>14.076000000000001</v>
      </c>
      <c r="J15" s="2">
        <v>13.7281290663972</v>
      </c>
      <c r="K15" s="2">
        <v>17.498594826739499</v>
      </c>
      <c r="L15" s="2">
        <v>9.9576633060549504</v>
      </c>
    </row>
    <row r="16" spans="1:14" x14ac:dyDescent="0.2">
      <c r="A16" s="2">
        <v>14.688000000000001</v>
      </c>
      <c r="B16" s="2">
        <v>7.9849850382184098</v>
      </c>
      <c r="C16" s="2">
        <v>10.362565616068199</v>
      </c>
      <c r="D16" s="2">
        <v>5.6074044603686604</v>
      </c>
      <c r="E16" s="2">
        <v>14.843999999999999</v>
      </c>
      <c r="F16" s="2">
        <v>1.4355268730845101</v>
      </c>
      <c r="G16" s="2">
        <v>2.1040258515148502</v>
      </c>
      <c r="H16" s="2">
        <v>0.76702789465416199</v>
      </c>
      <c r="I16" s="2">
        <v>14.688000000000001</v>
      </c>
      <c r="J16" s="2">
        <v>13.5909676241121</v>
      </c>
      <c r="K16" s="2">
        <v>17.302690861165701</v>
      </c>
      <c r="L16" s="2">
        <v>9.8792443870585807</v>
      </c>
    </row>
    <row r="17" spans="1:12" x14ac:dyDescent="0.2">
      <c r="A17" s="2">
        <v>15.302</v>
      </c>
      <c r="B17" s="2">
        <v>7.8581067417741401</v>
      </c>
      <c r="C17" s="2">
        <v>10.249512762087701</v>
      </c>
      <c r="D17" s="2">
        <v>5.4667007214605903</v>
      </c>
      <c r="E17" s="2">
        <v>15.528</v>
      </c>
      <c r="F17" s="2">
        <v>1.4534472048995599</v>
      </c>
      <c r="G17" s="2">
        <v>2.11967878635356</v>
      </c>
      <c r="H17" s="2">
        <v>0.78721562344555696</v>
      </c>
      <c r="I17" s="2">
        <v>15.302</v>
      </c>
      <c r="J17" s="2">
        <v>13.4557295556799</v>
      </c>
      <c r="K17" s="2">
        <v>17.111237261763399</v>
      </c>
      <c r="L17" s="2">
        <v>9.8002218495964293</v>
      </c>
    </row>
    <row r="18" spans="1:12" x14ac:dyDescent="0.2">
      <c r="A18" s="2">
        <v>15.914</v>
      </c>
      <c r="B18" s="2">
        <v>7.7349086459578498</v>
      </c>
      <c r="C18" s="2">
        <v>10.0818052478878</v>
      </c>
      <c r="D18" s="2">
        <v>5.3880120440278896</v>
      </c>
      <c r="E18" s="2">
        <v>16.212</v>
      </c>
      <c r="F18" s="2">
        <v>1.4711261661650601</v>
      </c>
      <c r="G18" s="2">
        <v>2.1541316316188901</v>
      </c>
      <c r="H18" s="2">
        <v>0.78812070071123497</v>
      </c>
      <c r="I18" s="2">
        <v>15.914</v>
      </c>
      <c r="J18" s="2">
        <v>13.323295890862401</v>
      </c>
      <c r="K18" s="2">
        <v>16.8747462777254</v>
      </c>
      <c r="L18" s="2">
        <v>9.7718455039994208</v>
      </c>
    </row>
    <row r="19" spans="1:12" x14ac:dyDescent="0.2">
      <c r="A19" s="2">
        <v>16.527999999999999</v>
      </c>
      <c r="B19" s="2">
        <v>7.6145855344570403</v>
      </c>
      <c r="C19" s="2">
        <v>9.8596010158357092</v>
      </c>
      <c r="D19" s="2">
        <v>5.3695700530783599</v>
      </c>
      <c r="E19" s="2">
        <v>16.896000000000001</v>
      </c>
      <c r="F19" s="2">
        <v>1.4885637568810199</v>
      </c>
      <c r="G19" s="2">
        <v>2.1788316052485301</v>
      </c>
      <c r="H19" s="2">
        <v>0.79829590851351095</v>
      </c>
      <c r="I19" s="2">
        <v>16.527999999999999</v>
      </c>
      <c r="J19" s="2">
        <v>13.192801050150999</v>
      </c>
      <c r="K19" s="2">
        <v>16.594149350432701</v>
      </c>
      <c r="L19" s="2">
        <v>9.7914527498692792</v>
      </c>
    </row>
    <row r="20" spans="1:12" x14ac:dyDescent="0.2">
      <c r="A20" s="2">
        <v>17.14</v>
      </c>
      <c r="B20" s="2">
        <v>7.4979212711902603</v>
      </c>
      <c r="C20" s="2">
        <v>9.7609547584664398</v>
      </c>
      <c r="D20" s="2">
        <v>5.2348877839140799</v>
      </c>
      <c r="E20" s="2">
        <v>17.579999999999998</v>
      </c>
      <c r="F20" s="2">
        <v>1.5057599770474299</v>
      </c>
      <c r="G20" s="2">
        <v>2.1738229354513101</v>
      </c>
      <c r="H20" s="2">
        <v>0.83769701864355095</v>
      </c>
      <c r="I20" s="2">
        <v>17.14</v>
      </c>
      <c r="J20" s="2">
        <v>13.0650951628011</v>
      </c>
      <c r="K20" s="2">
        <v>16.469910541973999</v>
      </c>
      <c r="L20" s="2">
        <v>9.6602797836280594</v>
      </c>
    </row>
    <row r="21" spans="1:12" x14ac:dyDescent="0.2">
      <c r="A21" s="2">
        <v>17.754000000000001</v>
      </c>
      <c r="B21" s="2">
        <v>7.3841533446329102</v>
      </c>
      <c r="C21" s="2">
        <v>9.6077368455631404</v>
      </c>
      <c r="D21" s="2">
        <v>5.1605698437026799</v>
      </c>
      <c r="E21" s="2">
        <v>18.263000000000002</v>
      </c>
      <c r="F21" s="2">
        <v>1.5226902150549599</v>
      </c>
      <c r="G21" s="2">
        <v>2.1877834117525801</v>
      </c>
      <c r="H21" s="2">
        <v>0.85759701835734203</v>
      </c>
      <c r="I21" s="2">
        <v>17.754000000000001</v>
      </c>
      <c r="J21" s="2">
        <v>12.939343549810401</v>
      </c>
      <c r="K21" s="2">
        <v>16.202683291046899</v>
      </c>
      <c r="L21" s="2">
        <v>9.6760038085737996</v>
      </c>
    </row>
    <row r="22" spans="1:12" x14ac:dyDescent="0.2">
      <c r="A22" s="2">
        <v>18.366</v>
      </c>
      <c r="B22" s="2">
        <v>7.2740229139156396</v>
      </c>
      <c r="C22" s="2">
        <v>9.4014937988595104</v>
      </c>
      <c r="D22" s="2">
        <v>5.1465520289717697</v>
      </c>
      <c r="E22" s="2">
        <v>18.946999999999999</v>
      </c>
      <c r="F22" s="2">
        <v>1.53940404700319</v>
      </c>
      <c r="G22" s="2">
        <v>2.2113677188874798</v>
      </c>
      <c r="H22" s="2">
        <v>0.86744037511890404</v>
      </c>
      <c r="I22" s="2">
        <v>18.366</v>
      </c>
      <c r="J22" s="2">
        <v>12.816365439927999</v>
      </c>
      <c r="K22" s="2">
        <v>15.9915084060698</v>
      </c>
      <c r="L22" s="2">
        <v>9.6412224737861703</v>
      </c>
    </row>
    <row r="23" spans="1:12" x14ac:dyDescent="0.2">
      <c r="A23" s="2">
        <v>18.98</v>
      </c>
      <c r="B23" s="2">
        <v>7.1668101723017497</v>
      </c>
      <c r="C23" s="2">
        <v>9.3162567982029003</v>
      </c>
      <c r="D23" s="2">
        <v>5.0173635464005901</v>
      </c>
      <c r="E23" s="2">
        <v>19.631</v>
      </c>
      <c r="F23" s="2">
        <v>1.55587650840188</v>
      </c>
      <c r="G23" s="2">
        <v>2.24484834390088</v>
      </c>
      <c r="H23" s="2">
        <v>0.86690467290287798</v>
      </c>
      <c r="I23" s="2">
        <v>18.98</v>
      </c>
      <c r="J23" s="2">
        <v>12.6953570546581</v>
      </c>
      <c r="K23" s="2">
        <v>15.8334082412252</v>
      </c>
      <c r="L23" s="2">
        <v>9.5573058680909106</v>
      </c>
    </row>
    <row r="24" spans="1:12" x14ac:dyDescent="0.2">
      <c r="A24" s="2">
        <v>19.591999999999999</v>
      </c>
      <c r="B24" s="2">
        <v>7.0632135741339903</v>
      </c>
      <c r="C24" s="2">
        <v>9.2647607801859202</v>
      </c>
      <c r="D24" s="2">
        <v>4.8616663680820498</v>
      </c>
      <c r="E24" s="2">
        <v>20.416</v>
      </c>
      <c r="F24" s="2">
        <v>1.5744838435403099</v>
      </c>
      <c r="G24" s="2">
        <v>2.2509725707852</v>
      </c>
      <c r="H24" s="2">
        <v>0.89799511629543105</v>
      </c>
      <c r="I24" s="2">
        <v>20.206</v>
      </c>
      <c r="J24" s="2">
        <v>12.4608415646941</v>
      </c>
      <c r="K24" s="2">
        <v>15.625481891658501</v>
      </c>
      <c r="L24" s="2">
        <v>9.2962012377297008</v>
      </c>
    </row>
    <row r="25" spans="1:12" x14ac:dyDescent="0.2">
      <c r="A25" s="2">
        <v>20.818000000000001</v>
      </c>
      <c r="B25" s="2">
        <v>6.8654932518453</v>
      </c>
      <c r="C25" s="2">
        <v>9.0013488978650908</v>
      </c>
      <c r="D25" s="2">
        <v>4.7296376058255198</v>
      </c>
      <c r="E25" s="2">
        <v>20.998000000000001</v>
      </c>
      <c r="F25" s="2">
        <v>1.5880741189490499</v>
      </c>
      <c r="G25" s="2">
        <v>2.27033633415749</v>
      </c>
      <c r="H25" s="2">
        <v>0.90581190374062004</v>
      </c>
      <c r="I25" s="2">
        <v>20.818000000000001</v>
      </c>
      <c r="J25" s="2">
        <v>12.347319009746901</v>
      </c>
      <c r="K25" s="2">
        <v>15.3433753038749</v>
      </c>
      <c r="L25" s="2">
        <v>9.3512627156188799</v>
      </c>
    </row>
    <row r="26" spans="1:12" x14ac:dyDescent="0.2">
      <c r="A26" s="2">
        <v>21.43</v>
      </c>
      <c r="B26" s="2">
        <v>6.7716920731114696</v>
      </c>
      <c r="C26" s="2">
        <v>8.9056391372335106</v>
      </c>
      <c r="D26" s="2">
        <v>4.6377450089894401</v>
      </c>
      <c r="E26" s="2">
        <v>21.681999999999999</v>
      </c>
      <c r="F26" s="2">
        <v>1.6038228215800201</v>
      </c>
      <c r="G26" s="2">
        <v>2.3137560023782902</v>
      </c>
      <c r="H26" s="2">
        <v>0.89388964078174704</v>
      </c>
      <c r="I26" s="2">
        <v>21.43</v>
      </c>
      <c r="J26" s="2">
        <v>12.2361564872713</v>
      </c>
      <c r="K26" s="2">
        <v>15.2514078953868</v>
      </c>
      <c r="L26" s="2">
        <v>9.2209050791558695</v>
      </c>
    </row>
    <row r="27" spans="1:12" x14ac:dyDescent="0.2">
      <c r="A27" s="2">
        <v>22.044</v>
      </c>
      <c r="B27" s="2">
        <v>6.68086194704959</v>
      </c>
      <c r="C27" s="2">
        <v>8.8430369470495904</v>
      </c>
      <c r="D27" s="2">
        <v>4.5186869470495896</v>
      </c>
      <c r="E27" s="2">
        <v>22.366</v>
      </c>
      <c r="F27" s="2">
        <v>1.61933015366144</v>
      </c>
      <c r="G27" s="2">
        <v>2.3257223557586801</v>
      </c>
      <c r="H27" s="2">
        <v>0.91293795156419799</v>
      </c>
      <c r="I27" s="2">
        <v>22.044</v>
      </c>
      <c r="J27" s="2">
        <v>12.1270023024388</v>
      </c>
      <c r="K27" s="2">
        <v>15.2084253226574</v>
      </c>
      <c r="L27" s="2">
        <v>9.0455792822202703</v>
      </c>
    </row>
    <row r="28" spans="1:12" x14ac:dyDescent="0.2">
      <c r="A28" s="2">
        <v>22.655999999999999</v>
      </c>
      <c r="B28" s="2">
        <v>6.5935946008652699</v>
      </c>
      <c r="C28" s="2">
        <v>8.7276509702461293</v>
      </c>
      <c r="D28" s="2">
        <v>4.4595382314844096</v>
      </c>
      <c r="E28" s="2">
        <v>23.05</v>
      </c>
      <c r="F28" s="2">
        <v>1.6345961151933099</v>
      </c>
      <c r="G28" s="2">
        <v>2.3372470557238101</v>
      </c>
      <c r="H28" s="2">
        <v>0.93194517466280402</v>
      </c>
      <c r="I28" s="2">
        <v>23.27</v>
      </c>
      <c r="J28" s="2">
        <v>11.9161566003191</v>
      </c>
      <c r="K28" s="2">
        <v>14.820996623786799</v>
      </c>
      <c r="L28" s="2">
        <v>9.0113165768514403</v>
      </c>
    </row>
    <row r="29" spans="1:12" x14ac:dyDescent="0.2">
      <c r="A29" s="2">
        <v>23.27</v>
      </c>
      <c r="B29" s="2">
        <v>6.5093196597468497</v>
      </c>
      <c r="C29" s="2">
        <v>8.5876705069701593</v>
      </c>
      <c r="D29" s="2">
        <v>4.43096881252354</v>
      </c>
      <c r="E29" s="2">
        <v>23.734000000000002</v>
      </c>
      <c r="F29" s="2">
        <v>1.6496207061756301</v>
      </c>
      <c r="G29" s="2">
        <v>2.3590792161895999</v>
      </c>
      <c r="H29" s="2">
        <v>0.94016219616165897</v>
      </c>
      <c r="I29" s="2">
        <v>23.882000000000001</v>
      </c>
      <c r="J29" s="2">
        <v>11.8144496327787</v>
      </c>
      <c r="K29" s="2">
        <v>14.7471584523804</v>
      </c>
      <c r="L29" s="2">
        <v>8.88174081317697</v>
      </c>
    </row>
    <row r="30" spans="1:12" x14ac:dyDescent="0.2">
      <c r="A30" s="2">
        <v>23.882000000000001</v>
      </c>
      <c r="B30" s="2">
        <v>6.4285861461120399</v>
      </c>
      <c r="C30" s="2">
        <v>8.5390873071642996</v>
      </c>
      <c r="D30" s="2">
        <v>4.3180849850597696</v>
      </c>
      <c r="E30" s="2">
        <v>24.417000000000002</v>
      </c>
      <c r="F30" s="2">
        <v>1.6643824898955399</v>
      </c>
      <c r="G30" s="2">
        <v>2.4023491706203099</v>
      </c>
      <c r="H30" s="2">
        <v>0.92641580917076805</v>
      </c>
      <c r="I30" s="2">
        <v>24.495999999999999</v>
      </c>
      <c r="J30" s="2">
        <v>11.714781903387699</v>
      </c>
      <c r="K30" s="2">
        <v>14.5889246069979</v>
      </c>
      <c r="L30" s="2">
        <v>8.8406391997775593</v>
      </c>
    </row>
    <row r="31" spans="1:12" x14ac:dyDescent="0.2">
      <c r="A31" s="2">
        <v>24.495999999999999</v>
      </c>
      <c r="B31" s="2">
        <v>6.3508663899370799</v>
      </c>
      <c r="C31" s="2">
        <v>8.4659586154590301</v>
      </c>
      <c r="D31" s="2">
        <v>4.2357741644151199</v>
      </c>
      <c r="E31" s="2">
        <v>25.100999999999999</v>
      </c>
      <c r="F31" s="2">
        <v>1.6789246926596899</v>
      </c>
      <c r="G31" s="2">
        <v>2.4129611276084302</v>
      </c>
      <c r="H31" s="2">
        <v>0.94488825771094898</v>
      </c>
      <c r="I31" s="2">
        <v>25.108000000000001</v>
      </c>
      <c r="J31" s="2">
        <v>11.6178027133149</v>
      </c>
      <c r="K31" s="2">
        <v>14.480341394657501</v>
      </c>
      <c r="L31" s="2">
        <v>8.7552640319722794</v>
      </c>
    </row>
    <row r="32" spans="1:12" x14ac:dyDescent="0.2">
      <c r="A32" s="2">
        <v>25.108000000000001</v>
      </c>
      <c r="B32" s="2">
        <v>6.2766667088517698</v>
      </c>
      <c r="C32" s="2">
        <v>8.36857257610232</v>
      </c>
      <c r="D32" s="2">
        <v>4.1847608416012196</v>
      </c>
      <c r="E32" s="2">
        <v>25.785</v>
      </c>
      <c r="F32" s="2">
        <v>1.69322552487429</v>
      </c>
      <c r="G32" s="2">
        <v>2.45630825490574</v>
      </c>
      <c r="H32" s="2">
        <v>0.93014279484284001</v>
      </c>
      <c r="I32" s="2">
        <v>25.722000000000001</v>
      </c>
      <c r="J32" s="2">
        <v>11.5228782116447</v>
      </c>
      <c r="K32" s="2">
        <v>14.464060629119601</v>
      </c>
      <c r="L32" s="2">
        <v>8.5816957941697005</v>
      </c>
    </row>
    <row r="33" spans="1:12" x14ac:dyDescent="0.2">
      <c r="A33" s="2">
        <v>25.722000000000001</v>
      </c>
      <c r="B33" s="2">
        <v>6.2055021376202699</v>
      </c>
      <c r="C33" s="2">
        <v>8.3919506132315291</v>
      </c>
      <c r="D33" s="2">
        <v>4.0190536620090098</v>
      </c>
      <c r="E33" s="2">
        <v>26.521999999999998</v>
      </c>
      <c r="F33" s="2">
        <v>1.70836431333383</v>
      </c>
      <c r="G33" s="2">
        <v>2.5238239920669598</v>
      </c>
      <c r="H33" s="2">
        <v>0.89290463460070701</v>
      </c>
      <c r="I33" s="2">
        <v>26.946999999999999</v>
      </c>
      <c r="J33" s="2">
        <v>11.340590468847299</v>
      </c>
      <c r="K33" s="2">
        <v>14.4018245096584</v>
      </c>
      <c r="L33" s="2">
        <v>8.2793564280361291</v>
      </c>
    </row>
    <row r="34" spans="1:12" x14ac:dyDescent="0.2">
      <c r="A34" s="2">
        <v>27.167999999999999</v>
      </c>
      <c r="B34" s="2">
        <v>6.0508758458876404</v>
      </c>
      <c r="C34" s="2">
        <v>8.3483370621457205</v>
      </c>
      <c r="D34" s="2">
        <v>3.7534146296295501</v>
      </c>
      <c r="E34" s="2">
        <v>27.835999999999999</v>
      </c>
      <c r="F34" s="2">
        <v>1.7346601253966301</v>
      </c>
      <c r="G34" s="2">
        <v>2.5532814218343001</v>
      </c>
      <c r="H34" s="2">
        <v>0.91603882895896604</v>
      </c>
      <c r="I34" s="2">
        <v>27.56</v>
      </c>
      <c r="J34" s="2">
        <v>11.2529218899522</v>
      </c>
      <c r="K34" s="2">
        <v>14.268635889952201</v>
      </c>
      <c r="L34" s="2">
        <v>8.2372078899522307</v>
      </c>
    </row>
    <row r="35" spans="1:12" x14ac:dyDescent="0.2">
      <c r="A35" s="2">
        <v>27.56</v>
      </c>
      <c r="B35" s="2">
        <v>6.01209488681015</v>
      </c>
      <c r="C35" s="2">
        <v>8.2877135571157599</v>
      </c>
      <c r="D35" s="2">
        <v>3.73647621650455</v>
      </c>
      <c r="E35" s="2">
        <v>29.204000000000001</v>
      </c>
      <c r="F35" s="2">
        <v>1.7610901606417499</v>
      </c>
      <c r="G35" s="2">
        <v>2.6409662488805301</v>
      </c>
      <c r="H35" s="2">
        <v>0.881214072402972</v>
      </c>
      <c r="I35" s="2">
        <v>28.172999999999998</v>
      </c>
      <c r="J35" s="2">
        <v>11.1676210623543</v>
      </c>
      <c r="K35" s="2">
        <v>14.2716216397476</v>
      </c>
      <c r="L35" s="2">
        <v>8.0636204849609197</v>
      </c>
    </row>
    <row r="36" spans="1:12" x14ac:dyDescent="0.2">
      <c r="A36" s="2">
        <v>28.172999999999998</v>
      </c>
      <c r="B36" s="2">
        <v>5.9541325672328496</v>
      </c>
      <c r="C36" s="2">
        <v>8.3022188219935202</v>
      </c>
      <c r="D36" s="2">
        <v>3.60604631247219</v>
      </c>
      <c r="E36" s="2">
        <v>29.888000000000002</v>
      </c>
      <c r="F36" s="2">
        <v>1.77394312243998</v>
      </c>
      <c r="G36" s="2">
        <v>2.6617169091445101</v>
      </c>
      <c r="H36" s="2">
        <v>0.88616933573546297</v>
      </c>
      <c r="I36" s="2">
        <v>28.786000000000001</v>
      </c>
      <c r="J36" s="2">
        <v>11.0846879860534</v>
      </c>
      <c r="K36" s="2">
        <v>14.2798154115995</v>
      </c>
      <c r="L36" s="2">
        <v>7.8895605605072703</v>
      </c>
    </row>
    <row r="37" spans="1:12" x14ac:dyDescent="0.2">
      <c r="A37" s="2">
        <v>28.786000000000001</v>
      </c>
      <c r="B37" s="2">
        <v>5.8994425020288004</v>
      </c>
      <c r="C37" s="2">
        <v>8.3221085146480007</v>
      </c>
      <c r="D37" s="2">
        <v>3.4767764894095898</v>
      </c>
      <c r="E37" s="2">
        <v>31.254999999999999</v>
      </c>
      <c r="F37" s="2">
        <v>1.79890702545234</v>
      </c>
      <c r="G37" s="2">
        <v>2.7143733783728998</v>
      </c>
      <c r="H37" s="2">
        <v>0.88344067253177805</v>
      </c>
      <c r="I37" s="2">
        <v>29.398</v>
      </c>
      <c r="J37" s="2">
        <v>11.0042521608549</v>
      </c>
      <c r="K37" s="2">
        <v>14.2497054282183</v>
      </c>
      <c r="L37" s="2">
        <v>7.7587988934915204</v>
      </c>
    </row>
    <row r="38" spans="1:12" x14ac:dyDescent="0.2">
      <c r="A38" s="2">
        <v>29.398</v>
      </c>
      <c r="B38" s="2">
        <v>5.8481059054764399</v>
      </c>
      <c r="C38" s="2">
        <v>8.3174276203048407</v>
      </c>
      <c r="D38" s="2">
        <v>3.3787841906480298</v>
      </c>
      <c r="E38" s="2">
        <v>32.622999999999998</v>
      </c>
      <c r="F38" s="2">
        <v>1.82292406096382</v>
      </c>
      <c r="G38" s="2">
        <v>2.75443988047844</v>
      </c>
      <c r="H38" s="2">
        <v>0.89140824144919295</v>
      </c>
      <c r="I38" s="2">
        <v>30.010999999999999</v>
      </c>
      <c r="J38" s="2">
        <v>10.926050724584901</v>
      </c>
      <c r="K38" s="2">
        <v>14.2248830336792</v>
      </c>
      <c r="L38" s="2">
        <v>7.6272184154905798</v>
      </c>
    </row>
    <row r="39" spans="1:12" x14ac:dyDescent="0.2">
      <c r="A39" s="2">
        <v>30.010999999999999</v>
      </c>
      <c r="B39" s="2">
        <v>5.7999550109203799</v>
      </c>
      <c r="C39" s="2">
        <v>8.3178385059450601</v>
      </c>
      <c r="D39" s="2">
        <v>3.2820715158957001</v>
      </c>
      <c r="E39" s="2">
        <v>33.305999999999997</v>
      </c>
      <c r="F39" s="2">
        <v>1.83455367208661</v>
      </c>
      <c r="G39" s="2">
        <v>2.7740923852637298</v>
      </c>
      <c r="H39" s="2">
        <v>0.895014958909498</v>
      </c>
      <c r="I39" s="2">
        <v>30.623999999999999</v>
      </c>
      <c r="J39" s="2">
        <v>10.850217039612</v>
      </c>
      <c r="K39" s="2">
        <v>14.293887231915299</v>
      </c>
      <c r="L39" s="2">
        <v>7.4065468473086096</v>
      </c>
    </row>
    <row r="40" spans="1:12" x14ac:dyDescent="0.2">
      <c r="A40" s="2">
        <v>31.85</v>
      </c>
      <c r="B40" s="2">
        <v>5.6751358534916498</v>
      </c>
      <c r="C40" s="2">
        <v>8.2571904672723608</v>
      </c>
      <c r="D40" s="2">
        <v>3.0930812397109402</v>
      </c>
      <c r="E40" s="2">
        <v>34.673999999999999</v>
      </c>
      <c r="F40" s="2">
        <v>1.8571231900626499</v>
      </c>
      <c r="G40" s="2">
        <v>2.8623940004792798</v>
      </c>
      <c r="H40" s="2">
        <v>0.85185237964601801</v>
      </c>
      <c r="I40" s="2">
        <v>31.85</v>
      </c>
      <c r="J40" s="2">
        <v>10.7056529235574</v>
      </c>
      <c r="K40" s="2">
        <v>14.0502547151704</v>
      </c>
      <c r="L40" s="2">
        <v>7.3610511319443903</v>
      </c>
    </row>
    <row r="41" spans="1:12" x14ac:dyDescent="0.2">
      <c r="A41" s="2">
        <v>32.463000000000001</v>
      </c>
      <c r="B41" s="2">
        <v>5.6400739764285603</v>
      </c>
      <c r="C41" s="2">
        <v>8.1836567230375294</v>
      </c>
      <c r="D41" s="2">
        <v>3.0964912298196001</v>
      </c>
      <c r="E41" s="2">
        <v>35.357999999999997</v>
      </c>
      <c r="F41" s="2">
        <v>1.86804589322635</v>
      </c>
      <c r="G41" s="2">
        <v>2.8943049300725998</v>
      </c>
      <c r="H41" s="2">
        <v>0.84178685638009298</v>
      </c>
      <c r="I41" s="2">
        <v>32.463000000000001</v>
      </c>
      <c r="J41" s="2">
        <v>10.6369224924757</v>
      </c>
      <c r="K41" s="2">
        <v>13.957641131092</v>
      </c>
      <c r="L41" s="2">
        <v>7.3162038538593999</v>
      </c>
    </row>
    <row r="42" spans="1:12" x14ac:dyDescent="0.2">
      <c r="A42" s="2">
        <v>33.076000000000001</v>
      </c>
      <c r="B42" s="2">
        <v>5.6082843537387097</v>
      </c>
      <c r="C42" s="2">
        <v>8.2087622487248009</v>
      </c>
      <c r="D42" s="2">
        <v>3.0078064587526301</v>
      </c>
      <c r="E42" s="2">
        <v>36.042000000000002</v>
      </c>
      <c r="F42" s="2">
        <v>1.8787272258404899</v>
      </c>
      <c r="G42" s="2">
        <v>2.9261908185667602</v>
      </c>
      <c r="H42" s="2">
        <v>0.83126363311423401</v>
      </c>
      <c r="I42" s="2">
        <v>33.076000000000001</v>
      </c>
      <c r="J42" s="2">
        <v>10.5705598126911</v>
      </c>
      <c r="K42" s="2">
        <v>13.9148192205194</v>
      </c>
      <c r="L42" s="2">
        <v>7.2263004048628696</v>
      </c>
    </row>
    <row r="43" spans="1:12" x14ac:dyDescent="0.2">
      <c r="A43" s="2">
        <v>33.69</v>
      </c>
      <c r="B43" s="2">
        <v>5.5797231378330698</v>
      </c>
      <c r="C43" s="2">
        <v>8.2071924821257198</v>
      </c>
      <c r="D43" s="2">
        <v>2.9522537935404198</v>
      </c>
      <c r="E43" s="2">
        <v>36.725000000000001</v>
      </c>
      <c r="F43" s="2">
        <v>1.8891521009851699</v>
      </c>
      <c r="G43" s="2">
        <v>2.9834732941982698</v>
      </c>
      <c r="H43" s="2">
        <v>0.794830907772068</v>
      </c>
      <c r="I43" s="2">
        <v>33.69</v>
      </c>
      <c r="J43" s="2">
        <v>10.5064624223414</v>
      </c>
      <c r="K43" s="2">
        <v>13.9226868190619</v>
      </c>
      <c r="L43" s="2">
        <v>7.0902380256208799</v>
      </c>
    </row>
    <row r="44" spans="1:12" x14ac:dyDescent="0.2">
      <c r="A44" s="2">
        <v>34.302</v>
      </c>
      <c r="B44" s="2">
        <v>5.5545218714787401</v>
      </c>
      <c r="C44" s="2">
        <v>8.2103457856209392</v>
      </c>
      <c r="D44" s="2">
        <v>2.8986979573365499</v>
      </c>
      <c r="E44" s="2">
        <v>37.408999999999999</v>
      </c>
      <c r="F44" s="2">
        <v>1.89935104538114</v>
      </c>
      <c r="G44" s="2">
        <v>3.0155197831810798</v>
      </c>
      <c r="H44" s="2">
        <v>0.783182307581203</v>
      </c>
      <c r="I44" s="2">
        <v>34.302</v>
      </c>
      <c r="J44" s="2">
        <v>10.444937707013199</v>
      </c>
      <c r="K44" s="2">
        <v>13.890709978513399</v>
      </c>
      <c r="L44" s="2">
        <v>6.9991654355130297</v>
      </c>
    </row>
    <row r="45" spans="1:12" x14ac:dyDescent="0.2">
      <c r="A45" s="2">
        <v>34.915999999999997</v>
      </c>
      <c r="B45" s="2">
        <v>5.5325158405165604</v>
      </c>
      <c r="C45" s="2">
        <v>8.3165010713001593</v>
      </c>
      <c r="D45" s="2">
        <v>2.74853060973297</v>
      </c>
      <c r="E45" s="2">
        <v>38.093000000000004</v>
      </c>
      <c r="F45" s="2">
        <v>1.9093086192275699</v>
      </c>
      <c r="G45" s="2">
        <v>3.0475421747896001</v>
      </c>
      <c r="H45" s="2">
        <v>0.77107506366554202</v>
      </c>
      <c r="I45" s="2">
        <v>34.558</v>
      </c>
      <c r="J45" s="2">
        <v>10.419901953798201</v>
      </c>
      <c r="K45" s="2">
        <v>13.925001680001399</v>
      </c>
      <c r="L45" s="2">
        <v>6.9148022275949597</v>
      </c>
    </row>
    <row r="46" spans="1:12" x14ac:dyDescent="0.2">
      <c r="A46" s="2">
        <v>36.140999999999998</v>
      </c>
      <c r="B46" s="2">
        <v>5.4984200558881096</v>
      </c>
      <c r="C46" s="2">
        <v>8.4828977891649195</v>
      </c>
      <c r="D46" s="2">
        <v>2.5139423226113</v>
      </c>
      <c r="E46" s="2">
        <v>40.143999999999998</v>
      </c>
      <c r="F46" s="2">
        <v>1.93771979443833</v>
      </c>
      <c r="G46" s="2">
        <v>3.1688687104466302</v>
      </c>
      <c r="H46" s="2">
        <v>0.70657087843003197</v>
      </c>
      <c r="I46" s="2">
        <v>34.915999999999997</v>
      </c>
      <c r="J46" s="2">
        <v>10.3855835443842</v>
      </c>
      <c r="K46" s="2">
        <v>14.0030039486257</v>
      </c>
      <c r="L46" s="2">
        <v>6.7681631401426499</v>
      </c>
    </row>
    <row r="47" spans="1:12" x14ac:dyDescent="0.2">
      <c r="A47" s="2">
        <v>36.753999999999998</v>
      </c>
      <c r="B47" s="2">
        <v>5.4862639594377196</v>
      </c>
      <c r="C47" s="2">
        <v>8.5078757071056099</v>
      </c>
      <c r="D47" s="2">
        <v>2.46465221176982</v>
      </c>
      <c r="E47" s="2">
        <v>41.512</v>
      </c>
      <c r="F47" s="2">
        <v>1.9554633129471</v>
      </c>
      <c r="G47" s="2">
        <v>3.19481619401994</v>
      </c>
      <c r="H47" s="2">
        <v>0.71611043187426104</v>
      </c>
      <c r="I47" s="2">
        <v>36.140999999999998</v>
      </c>
      <c r="J47" s="2">
        <v>10.2742626832244</v>
      </c>
      <c r="K47" s="2">
        <v>14.1101618727416</v>
      </c>
      <c r="L47" s="2">
        <v>6.4383634937071896</v>
      </c>
    </row>
    <row r="48" spans="1:12" x14ac:dyDescent="0.2">
      <c r="A48" s="2">
        <v>37.366</v>
      </c>
      <c r="B48" s="2">
        <v>5.47739194506683</v>
      </c>
      <c r="C48" s="2">
        <v>8.6408055462561304</v>
      </c>
      <c r="D48" s="2">
        <v>2.3139783438775301</v>
      </c>
      <c r="E48" s="2">
        <v>42.195</v>
      </c>
      <c r="F48" s="2">
        <v>1.9639607514727799</v>
      </c>
      <c r="G48" s="2">
        <v>3.19976560922724</v>
      </c>
      <c r="H48" s="2">
        <v>0.72815589371831801</v>
      </c>
      <c r="I48" s="2">
        <v>36.753999999999998</v>
      </c>
      <c r="J48" s="2">
        <v>10.2221065112223</v>
      </c>
      <c r="K48" s="2">
        <v>14.102354469522099</v>
      </c>
      <c r="L48" s="2">
        <v>6.3418585529225702</v>
      </c>
    </row>
    <row r="49" spans="1:12" x14ac:dyDescent="0.2">
      <c r="A49" s="2">
        <v>37.979999999999997</v>
      </c>
      <c r="B49" s="2">
        <v>5.4717685296566598</v>
      </c>
      <c r="C49" s="2">
        <v>8.7702915859652801</v>
      </c>
      <c r="D49" s="2">
        <v>2.1732454733480302</v>
      </c>
      <c r="E49" s="2">
        <v>42.878999999999998</v>
      </c>
      <c r="F49" s="2">
        <v>1.97222943723422</v>
      </c>
      <c r="G49" s="2">
        <v>3.2285731127767199</v>
      </c>
      <c r="H49" s="2">
        <v>0.71588576169171403</v>
      </c>
      <c r="I49" s="2">
        <v>37.366</v>
      </c>
      <c r="J49" s="2">
        <v>10.1723973833009</v>
      </c>
      <c r="K49" s="2">
        <v>14.2454782240019</v>
      </c>
      <c r="L49" s="2">
        <v>6.0993165425998601</v>
      </c>
    </row>
    <row r="50" spans="1:12" x14ac:dyDescent="0.2">
      <c r="A50" s="2">
        <v>40.432000000000002</v>
      </c>
      <c r="B50" s="2">
        <v>5.4820447225734501</v>
      </c>
      <c r="C50" s="2">
        <v>8.8828671515517907</v>
      </c>
      <c r="D50" s="2">
        <v>2.0812222935951001</v>
      </c>
      <c r="E50" s="2">
        <v>44.692</v>
      </c>
      <c r="F50" s="2">
        <v>1.99297851699929</v>
      </c>
      <c r="G50" s="2">
        <v>3.4286614457034599</v>
      </c>
      <c r="H50" s="2">
        <v>0.55729558829510895</v>
      </c>
      <c r="I50" s="2">
        <v>37.979999999999997</v>
      </c>
      <c r="J50" s="2">
        <v>10.1248974211094</v>
      </c>
      <c r="K50" s="2">
        <v>14.3487036304494</v>
      </c>
      <c r="L50" s="2">
        <v>5.9010912117693</v>
      </c>
    </row>
    <row r="51" spans="1:12" x14ac:dyDescent="0.2">
      <c r="A51" s="2">
        <v>41.658000000000001</v>
      </c>
      <c r="B51" s="2">
        <v>5.5068163452713002</v>
      </c>
      <c r="C51" s="2">
        <v>8.8565654610920905</v>
      </c>
      <c r="D51" s="2">
        <v>2.1570672294505102</v>
      </c>
      <c r="E51" s="2">
        <v>49.033000000000001</v>
      </c>
      <c r="F51" s="2">
        <v>2.03576846061942</v>
      </c>
      <c r="G51" s="2">
        <v>3.2236249972002899</v>
      </c>
      <c r="H51" s="2">
        <v>0.84791192403854898</v>
      </c>
      <c r="I51" s="2">
        <v>39.817999999999998</v>
      </c>
      <c r="J51" s="2">
        <v>9.9969057631984999</v>
      </c>
      <c r="K51" s="2">
        <v>14.657391670148201</v>
      </c>
      <c r="L51" s="2">
        <v>5.3364198562488196</v>
      </c>
    </row>
    <row r="52" spans="1:12" x14ac:dyDescent="0.2">
      <c r="A52" s="2">
        <v>42.27</v>
      </c>
      <c r="B52" s="2">
        <v>5.5240796610984404</v>
      </c>
      <c r="C52" s="2">
        <v>8.9155946690461398</v>
      </c>
      <c r="D52" s="2">
        <v>2.1325646531507498</v>
      </c>
      <c r="E52" s="2">
        <v>51.084000000000003</v>
      </c>
      <c r="F52" s="2">
        <v>2.0526037280540401</v>
      </c>
      <c r="G52" s="2">
        <v>3.2276818507168601</v>
      </c>
      <c r="H52" s="2">
        <v>0.87752560539122004</v>
      </c>
      <c r="I52" s="2">
        <v>40.432000000000002</v>
      </c>
      <c r="J52" s="2">
        <v>9.9588922564484701</v>
      </c>
      <c r="K52" s="2">
        <v>14.690189720913001</v>
      </c>
      <c r="L52" s="2">
        <v>5.2275947919838899</v>
      </c>
    </row>
    <row r="53" spans="1:12" x14ac:dyDescent="0.2">
      <c r="A53" s="2">
        <v>42.662999999999997</v>
      </c>
      <c r="B53" s="2">
        <v>5.5368851258806497</v>
      </c>
      <c r="C53" s="2">
        <v>9.0117534582666803</v>
      </c>
      <c r="D53" s="2">
        <v>2.0620167934946099</v>
      </c>
      <c r="E53" s="2">
        <v>53.82</v>
      </c>
      <c r="F53" s="2">
        <v>2.07168321379707</v>
      </c>
      <c r="G53" s="2">
        <v>3.14598277674463</v>
      </c>
      <c r="H53" s="2">
        <v>0.99738365084951097</v>
      </c>
      <c r="I53" s="2">
        <v>41.658000000000001</v>
      </c>
      <c r="J53" s="2">
        <v>9.8900961819005104</v>
      </c>
      <c r="K53" s="2">
        <v>14.719568547304</v>
      </c>
      <c r="L53" s="2">
        <v>5.0606238164970101</v>
      </c>
    </row>
    <row r="54" spans="1:12" x14ac:dyDescent="0.2">
      <c r="A54" s="2">
        <v>45.948</v>
      </c>
      <c r="B54" s="2">
        <v>5.6965301317983403</v>
      </c>
      <c r="C54" s="2">
        <v>10.190249291443299</v>
      </c>
      <c r="D54" s="2">
        <v>1.2028109721533999</v>
      </c>
      <c r="E54" s="2">
        <v>55.871000000000002</v>
      </c>
      <c r="F54" s="2">
        <v>2.08345322798449</v>
      </c>
      <c r="G54" s="2">
        <v>3.06089156643257</v>
      </c>
      <c r="H54" s="2">
        <v>1.1060148895364099</v>
      </c>
      <c r="I54" s="2">
        <v>42.27</v>
      </c>
      <c r="J54" s="2">
        <v>9.8592981638494201</v>
      </c>
      <c r="K54" s="2">
        <v>14.765837899778299</v>
      </c>
      <c r="L54" s="2">
        <v>4.9527584279205898</v>
      </c>
    </row>
    <row r="55" spans="1:12" x14ac:dyDescent="0.2">
      <c r="A55" s="2">
        <v>49.012</v>
      </c>
      <c r="B55" s="2">
        <v>5.9301362651888896</v>
      </c>
      <c r="C55" s="2">
        <v>9.5099625987630994</v>
      </c>
      <c r="D55" s="2">
        <v>2.35030993161469</v>
      </c>
      <c r="E55" s="2">
        <v>56.978000000000002</v>
      </c>
      <c r="F55" s="2">
        <v>2.0889041542144802</v>
      </c>
      <c r="G55" s="2">
        <v>3.1201877452144799</v>
      </c>
      <c r="H55" s="2">
        <v>1.0576205632144799</v>
      </c>
      <c r="I55" s="2">
        <v>44.722000000000001</v>
      </c>
      <c r="J55" s="2">
        <v>9.7595745852536595</v>
      </c>
      <c r="K55" s="2">
        <v>15.8879561548881</v>
      </c>
      <c r="L55" s="2">
        <v>3.6311930156192198</v>
      </c>
    </row>
    <row r="56" spans="1:12" x14ac:dyDescent="0.2">
      <c r="A56" s="2">
        <v>50.851999999999997</v>
      </c>
      <c r="B56" s="2">
        <v>6.1097103376331097</v>
      </c>
      <c r="C56" s="2">
        <v>9.9597397058347799</v>
      </c>
      <c r="D56" s="2">
        <v>2.2596809694314302</v>
      </c>
      <c r="E56" s="2"/>
      <c r="F56" s="2"/>
      <c r="G56" s="2"/>
      <c r="H56" s="2"/>
      <c r="I56" s="2">
        <v>49.012</v>
      </c>
      <c r="J56" s="2">
        <v>9.6762226580308894</v>
      </c>
      <c r="K56" s="2">
        <v>14.7947846974808</v>
      </c>
      <c r="L56" s="2">
        <v>4.5576606185809903</v>
      </c>
    </row>
    <row r="57" spans="1:12" x14ac:dyDescent="0.2">
      <c r="A57" s="2">
        <v>53.915999999999997</v>
      </c>
      <c r="B57" s="2">
        <v>6.4741639411654504</v>
      </c>
      <c r="C57" s="2">
        <v>10.3102840572268</v>
      </c>
      <c r="D57" s="2">
        <v>2.63804382510413</v>
      </c>
      <c r="E57" s="2"/>
      <c r="F57" s="2"/>
      <c r="G57" s="2"/>
      <c r="H57" s="2"/>
      <c r="I57" s="2">
        <v>50.851999999999997</v>
      </c>
      <c r="J57" s="2">
        <v>9.6760082295600096</v>
      </c>
      <c r="K57" s="2">
        <v>15.1468866040038</v>
      </c>
      <c r="L57" s="2">
        <v>4.2051298551162501</v>
      </c>
    </row>
    <row r="58" spans="1:12" x14ac:dyDescent="0.2">
      <c r="A58" s="2">
        <v>55.753999999999998</v>
      </c>
      <c r="B58" s="2">
        <v>6.7320182189830904</v>
      </c>
      <c r="C58" s="2">
        <v>10.309559129423</v>
      </c>
      <c r="D58" s="2">
        <v>3.1544773085431399</v>
      </c>
      <c r="E58" s="2"/>
      <c r="F58" s="2"/>
      <c r="G58" s="2"/>
      <c r="H58" s="2"/>
      <c r="I58" s="2">
        <v>53.915999999999997</v>
      </c>
      <c r="J58" s="2">
        <v>9.7229907352295903</v>
      </c>
      <c r="K58" s="2">
        <v>15.032245535503399</v>
      </c>
      <c r="L58" s="2">
        <v>4.4137359349557999</v>
      </c>
    </row>
    <row r="59" spans="1:12" x14ac:dyDescent="0.2">
      <c r="A59" s="2">
        <v>56.98</v>
      </c>
      <c r="B59" s="2">
        <v>6.9203705317521296</v>
      </c>
      <c r="C59" s="2">
        <v>10.956430531752099</v>
      </c>
      <c r="D59" s="2">
        <v>2.88431053175213</v>
      </c>
      <c r="E59" s="2"/>
      <c r="F59" s="2"/>
      <c r="G59" s="2"/>
      <c r="H59" s="2"/>
      <c r="I59" s="2">
        <v>54.57</v>
      </c>
      <c r="J59" s="2">
        <v>9.7406797527896902</v>
      </c>
      <c r="K59" s="2">
        <v>14.827023125449401</v>
      </c>
      <c r="L59" s="2">
        <v>4.6543363801299504</v>
      </c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>
        <v>55.753999999999998</v>
      </c>
      <c r="J60" s="2">
        <v>9.7795600890679903</v>
      </c>
      <c r="K60" s="2">
        <v>14.7037026875651</v>
      </c>
      <c r="L60" s="2">
        <v>4.85541749057084</v>
      </c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>
        <v>56.98</v>
      </c>
      <c r="J61" s="2">
        <v>9.8291284039943996</v>
      </c>
      <c r="K61" s="2">
        <v>15.423496403994401</v>
      </c>
      <c r="L61" s="2">
        <v>4.2347604039944002</v>
      </c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F41B-CCC4-0A4F-AD2E-79579C89C380}">
  <sheetPr>
    <tabColor theme="0" tint="-0.499984740745262"/>
  </sheetPr>
  <dimension ref="A1:N101"/>
  <sheetViews>
    <sheetView workbookViewId="0">
      <selection activeCell="N2" sqref="N2:N3"/>
    </sheetView>
  </sheetViews>
  <sheetFormatPr baseColWidth="10" defaultColWidth="11" defaultRowHeight="16" x14ac:dyDescent="0.2"/>
  <cols>
    <col min="6" max="6" width="11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3.0000000000000001E-3</v>
      </c>
      <c r="B2" s="2">
        <v>7.5145656235017899</v>
      </c>
      <c r="C2" s="2">
        <v>14.029919623501801</v>
      </c>
      <c r="D2" s="2">
        <v>0.99921162350179205</v>
      </c>
      <c r="E2" s="2">
        <v>1E-3</v>
      </c>
      <c r="F2" s="2">
        <v>1.41128859774925</v>
      </c>
      <c r="G2" s="2">
        <v>2.3235779282492501</v>
      </c>
      <c r="H2" s="2">
        <v>0.49899926724925098</v>
      </c>
      <c r="I2" s="2">
        <v>3.0000000000000001E-3</v>
      </c>
      <c r="J2" s="2">
        <v>16.936684430451599</v>
      </c>
      <c r="K2" s="2">
        <v>22.889315690836401</v>
      </c>
      <c r="L2" s="2">
        <v>10.9840531700667</v>
      </c>
      <c r="N2">
        <f>MIN(J:J)</f>
        <v>10.6843106184417</v>
      </c>
    </row>
    <row r="3" spans="1:14" x14ac:dyDescent="0.2">
      <c r="A3" s="2">
        <v>5.0000000000000001E-3</v>
      </c>
      <c r="B3" s="2">
        <v>7.38255192265148</v>
      </c>
      <c r="C3" s="2">
        <v>13.2453313999897</v>
      </c>
      <c r="D3" s="2">
        <v>1.5197724453132699</v>
      </c>
      <c r="E3" s="2">
        <v>3.0000000000000001E-3</v>
      </c>
      <c r="F3" s="2">
        <v>1.4363414349083501</v>
      </c>
      <c r="G3" s="2">
        <v>2.2407515528609099</v>
      </c>
      <c r="H3" s="2">
        <v>0.63193131695578797</v>
      </c>
      <c r="I3" s="2">
        <v>5.0000000000000001E-3</v>
      </c>
      <c r="J3" s="2">
        <v>16.609682127444898</v>
      </c>
      <c r="K3" s="2">
        <v>21.9627963264786</v>
      </c>
      <c r="L3" s="2">
        <v>11.2565679284111</v>
      </c>
      <c r="N3">
        <f>MAX(J:J)</f>
        <v>16.936684430451599</v>
      </c>
    </row>
    <row r="4" spans="1:14" x14ac:dyDescent="0.2">
      <c r="A4" s="2">
        <v>7.0000000000000001E-3</v>
      </c>
      <c r="B4" s="2">
        <v>7.2519165883223202</v>
      </c>
      <c r="C4" s="2">
        <v>12.7674087177903</v>
      </c>
      <c r="D4" s="2">
        <v>1.7364244588543001</v>
      </c>
      <c r="E4" s="2">
        <v>4.0000000000000001E-3</v>
      </c>
      <c r="F4" s="2">
        <v>1.4488022395749001</v>
      </c>
      <c r="G4" s="2">
        <v>2.2101899085096801</v>
      </c>
      <c r="H4" s="2">
        <v>0.68741457064011302</v>
      </c>
      <c r="I4" s="2">
        <v>7.0000000000000001E-3</v>
      </c>
      <c r="J4" s="2">
        <v>16.2914617784954</v>
      </c>
      <c r="K4" s="2">
        <v>21.412914617883601</v>
      </c>
      <c r="L4" s="2">
        <v>11.1700089391073</v>
      </c>
    </row>
    <row r="5" spans="1:14" x14ac:dyDescent="0.2">
      <c r="A5" s="2">
        <v>8.9999999999999993E-3</v>
      </c>
      <c r="B5" s="2">
        <v>7.1226596205143098</v>
      </c>
      <c r="C5" s="2">
        <v>12.359696788739701</v>
      </c>
      <c r="D5" s="2">
        <v>1.88562245228896</v>
      </c>
      <c r="E5" s="2">
        <v>5.0000000000000001E-3</v>
      </c>
      <c r="F5" s="2">
        <v>1.4612193016327799</v>
      </c>
      <c r="G5" s="2">
        <v>2.2197054209178999</v>
      </c>
      <c r="H5" s="2">
        <v>0.70273318234766302</v>
      </c>
      <c r="I5" s="2">
        <v>8.9999999999999993E-3</v>
      </c>
      <c r="J5" s="2">
        <v>15.982023383603201</v>
      </c>
      <c r="K5" s="2">
        <v>20.882156911343198</v>
      </c>
      <c r="L5" s="2">
        <v>11.081889855863301</v>
      </c>
    </row>
    <row r="6" spans="1:14" x14ac:dyDescent="0.2">
      <c r="A6" s="2">
        <v>0.01</v>
      </c>
      <c r="B6" s="2">
        <v>7.0585480240557397</v>
      </c>
      <c r="C6" s="2">
        <v>12.058037607426099</v>
      </c>
      <c r="D6" s="2">
        <v>2.0590584406853401</v>
      </c>
      <c r="E6" s="2">
        <v>7.0000000000000001E-3</v>
      </c>
      <c r="F6" s="2">
        <v>1.4859221979225501</v>
      </c>
      <c r="G6" s="2">
        <v>2.2300369177945298</v>
      </c>
      <c r="H6" s="2">
        <v>0.74180747805057001</v>
      </c>
      <c r="I6" s="2">
        <v>0.01</v>
      </c>
      <c r="J6" s="2">
        <v>15.830597418928599</v>
      </c>
      <c r="K6" s="2">
        <v>20.458554207182701</v>
      </c>
      <c r="L6" s="2">
        <v>11.2026406306745</v>
      </c>
    </row>
    <row r="7" spans="1:14" x14ac:dyDescent="0.2">
      <c r="A7" s="2">
        <v>1.2E-2</v>
      </c>
      <c r="B7" s="2">
        <v>6.9313586060294501</v>
      </c>
      <c r="C7" s="2">
        <v>11.624519397810801</v>
      </c>
      <c r="D7" s="2">
        <v>2.23819781424812</v>
      </c>
      <c r="E7" s="2">
        <v>8.9999999999999993E-3</v>
      </c>
      <c r="F7" s="2">
        <v>1.51045012377765</v>
      </c>
      <c r="G7" s="2">
        <v>2.2479456521974601</v>
      </c>
      <c r="H7" s="2">
        <v>0.77295459535784194</v>
      </c>
      <c r="I7" s="2">
        <v>1.2E-2</v>
      </c>
      <c r="J7" s="2">
        <v>15.534331955122299</v>
      </c>
      <c r="K7" s="2">
        <v>20.013175646454101</v>
      </c>
      <c r="L7" s="2">
        <v>11.0554882637904</v>
      </c>
    </row>
    <row r="8" spans="1:14" x14ac:dyDescent="0.2">
      <c r="A8" s="2">
        <v>1.4E-2</v>
      </c>
      <c r="B8" s="2">
        <v>6.8055475545243196</v>
      </c>
      <c r="C8" s="2">
        <v>11.352592391177</v>
      </c>
      <c r="D8" s="2">
        <v>2.2585027178716301</v>
      </c>
      <c r="E8" s="2">
        <v>0.01</v>
      </c>
      <c r="F8" s="2">
        <v>1.5226484727922001</v>
      </c>
      <c r="G8" s="2">
        <v>2.2398077732234198</v>
      </c>
      <c r="H8" s="2">
        <v>0.80548917236099504</v>
      </c>
      <c r="I8" s="2">
        <v>1.4E-2</v>
      </c>
      <c r="J8" s="2">
        <v>15.2468484453732</v>
      </c>
      <c r="K8" s="2">
        <v>19.689483877344301</v>
      </c>
      <c r="L8" s="2">
        <v>10.8042130134021</v>
      </c>
    </row>
    <row r="9" spans="1:14" x14ac:dyDescent="0.2">
      <c r="A9" s="2">
        <v>1.6E-2</v>
      </c>
      <c r="B9" s="2">
        <v>6.6811148695403304</v>
      </c>
      <c r="C9" s="2">
        <v>10.993877489224801</v>
      </c>
      <c r="D9" s="2">
        <v>2.36835224985583</v>
      </c>
      <c r="E9" s="2">
        <v>1.2E-2</v>
      </c>
      <c r="F9" s="2">
        <v>1.54691394299531</v>
      </c>
      <c r="G9" s="2">
        <v>2.25661602631651</v>
      </c>
      <c r="H9" s="2">
        <v>0.83721185967411604</v>
      </c>
      <c r="I9" s="2">
        <v>1.6E-2</v>
      </c>
      <c r="J9" s="2">
        <v>14.9681468896814</v>
      </c>
      <c r="K9" s="2">
        <v>19.221844266784402</v>
      </c>
      <c r="L9" s="2">
        <v>10.714449512578399</v>
      </c>
    </row>
    <row r="10" spans="1:14" x14ac:dyDescent="0.2">
      <c r="A10" s="2">
        <v>1.7999999999999999E-2</v>
      </c>
      <c r="B10" s="2">
        <v>6.5580605510774896</v>
      </c>
      <c r="C10" s="2">
        <v>10.647872403654899</v>
      </c>
      <c r="D10" s="2">
        <v>2.46824869850012</v>
      </c>
      <c r="E10" s="2">
        <v>1.4E-2</v>
      </c>
      <c r="F10" s="2">
        <v>1.57100444276375</v>
      </c>
      <c r="G10" s="2">
        <v>2.2988308296484399</v>
      </c>
      <c r="H10" s="2">
        <v>0.84317805587906303</v>
      </c>
      <c r="I10" s="2">
        <v>1.7999999999999999E-2</v>
      </c>
      <c r="J10" s="2">
        <v>14.6982272880468</v>
      </c>
      <c r="K10" s="2">
        <v>18.771786953243399</v>
      </c>
      <c r="L10" s="2">
        <v>10.6246676228502</v>
      </c>
    </row>
    <row r="11" spans="1:14" x14ac:dyDescent="0.2">
      <c r="A11" s="2">
        <v>0.02</v>
      </c>
      <c r="B11" s="2">
        <v>6.4363845991358</v>
      </c>
      <c r="C11" s="2">
        <v>10.402352992193</v>
      </c>
      <c r="D11" s="2">
        <v>2.4704162060785602</v>
      </c>
      <c r="E11" s="2">
        <v>1.6E-2</v>
      </c>
      <c r="F11" s="2">
        <v>1.59491997209753</v>
      </c>
      <c r="G11" s="2">
        <v>2.3148049619646098</v>
      </c>
      <c r="H11" s="2">
        <v>0.87503498223044796</v>
      </c>
      <c r="I11" s="2">
        <v>0.02</v>
      </c>
      <c r="J11" s="2">
        <v>14.4370896404694</v>
      </c>
      <c r="K11" s="2">
        <v>18.388980088356298</v>
      </c>
      <c r="L11" s="2">
        <v>10.4851991925826</v>
      </c>
    </row>
    <row r="12" spans="1:14" x14ac:dyDescent="0.2">
      <c r="A12" s="2">
        <v>2.1999999999999999E-2</v>
      </c>
      <c r="B12" s="2">
        <v>6.3160870137152498</v>
      </c>
      <c r="C12" s="2">
        <v>10.1208138064713</v>
      </c>
      <c r="D12" s="2">
        <v>2.5113602209591601</v>
      </c>
      <c r="E12" s="2">
        <v>1.7999999999999999E-2</v>
      </c>
      <c r="F12" s="2">
        <v>1.61866053099664</v>
      </c>
      <c r="G12" s="2">
        <v>2.33018722740802</v>
      </c>
      <c r="H12" s="2">
        <v>0.90713383458525598</v>
      </c>
      <c r="I12" s="2">
        <v>2.1999999999999999E-2</v>
      </c>
      <c r="J12" s="2">
        <v>14.1847339469494</v>
      </c>
      <c r="K12" s="2">
        <v>18.0705590847958</v>
      </c>
      <c r="L12" s="2">
        <v>10.298908809102899</v>
      </c>
    </row>
    <row r="13" spans="1:14" x14ac:dyDescent="0.2">
      <c r="A13" s="2">
        <v>2.4E-2</v>
      </c>
      <c r="B13" s="2">
        <v>6.1971677948158597</v>
      </c>
      <c r="C13" s="2">
        <v>9.8485188137918591</v>
      </c>
      <c r="D13" s="2">
        <v>2.5458167758398602</v>
      </c>
      <c r="E13" s="2">
        <v>0.02</v>
      </c>
      <c r="F13" s="2">
        <v>1.6422261194610801</v>
      </c>
      <c r="G13" s="2">
        <v>2.3629937380569102</v>
      </c>
      <c r="H13" s="2">
        <v>0.92145850086526104</v>
      </c>
      <c r="I13" s="2">
        <v>2.4E-2</v>
      </c>
      <c r="J13" s="2">
        <v>13.941160207486501</v>
      </c>
      <c r="K13" s="2">
        <v>17.717193760174101</v>
      </c>
      <c r="L13" s="2">
        <v>10.1651266547989</v>
      </c>
    </row>
    <row r="14" spans="1:14" x14ac:dyDescent="0.2">
      <c r="A14" s="2">
        <v>2.5999999999999999E-2</v>
      </c>
      <c r="B14" s="2">
        <v>6.0796269424376099</v>
      </c>
      <c r="C14" s="2">
        <v>9.5852896275391295</v>
      </c>
      <c r="D14" s="2">
        <v>2.5739642573361001</v>
      </c>
      <c r="E14" s="2">
        <v>2.1999999999999999E-2</v>
      </c>
      <c r="F14" s="2">
        <v>1.6656167374908699</v>
      </c>
      <c r="G14" s="2">
        <v>2.3956663234267102</v>
      </c>
      <c r="H14" s="2">
        <v>0.93556715155502601</v>
      </c>
      <c r="I14" s="2">
        <v>2.5999999999999999E-2</v>
      </c>
      <c r="J14" s="2">
        <v>13.706368422080899</v>
      </c>
      <c r="K14" s="2">
        <v>17.3787301551687</v>
      </c>
      <c r="L14" s="2">
        <v>10.034006688993101</v>
      </c>
    </row>
    <row r="15" spans="1:14" x14ac:dyDescent="0.2">
      <c r="A15" s="2">
        <v>2.8000000000000001E-2</v>
      </c>
      <c r="B15" s="2">
        <v>5.9634644565805202</v>
      </c>
      <c r="C15" s="2">
        <v>9.3701046448711605</v>
      </c>
      <c r="D15" s="2">
        <v>2.5568242682898799</v>
      </c>
      <c r="E15" s="2">
        <v>2.4E-2</v>
      </c>
      <c r="F15" s="2">
        <v>1.6888323850859801</v>
      </c>
      <c r="G15" s="2">
        <v>2.4097206685566301</v>
      </c>
      <c r="H15" s="2">
        <v>0.96794410161533495</v>
      </c>
      <c r="I15" s="2">
        <v>2.8000000000000001E-2</v>
      </c>
      <c r="J15" s="2">
        <v>13.4803585907326</v>
      </c>
      <c r="K15" s="2">
        <v>17.1020250095529</v>
      </c>
      <c r="L15" s="2">
        <v>9.8586921719121694</v>
      </c>
    </row>
    <row r="16" spans="1:14" x14ac:dyDescent="0.2">
      <c r="A16" s="2">
        <v>2.9000000000000001E-2</v>
      </c>
      <c r="B16" s="2">
        <v>5.9059001010973997</v>
      </c>
      <c r="C16" s="2">
        <v>9.2263590081344695</v>
      </c>
      <c r="D16" s="2">
        <v>2.5854411940603299</v>
      </c>
      <c r="E16" s="2">
        <v>2.5999999999999999E-2</v>
      </c>
      <c r="F16" s="2">
        <v>1.71187306224643</v>
      </c>
      <c r="G16" s="2">
        <v>2.4418913019269701</v>
      </c>
      <c r="H16" s="2">
        <v>0.98185482256589696</v>
      </c>
      <c r="I16" s="2">
        <v>2.9000000000000001E-2</v>
      </c>
      <c r="J16" s="2">
        <v>13.3706469078298</v>
      </c>
      <c r="K16" s="2">
        <v>16.921950176957498</v>
      </c>
      <c r="L16" s="2">
        <v>9.8193436387021809</v>
      </c>
    </row>
    <row r="17" spans="1:12" x14ac:dyDescent="0.2">
      <c r="A17" s="2">
        <v>3.1E-2</v>
      </c>
      <c r="B17" s="2">
        <v>5.7918051650220299</v>
      </c>
      <c r="C17" s="2">
        <v>8.9469284073703097</v>
      </c>
      <c r="D17" s="2">
        <v>2.6366819226737501</v>
      </c>
      <c r="E17" s="2">
        <v>2.8000000000000001E-2</v>
      </c>
      <c r="F17" s="2">
        <v>1.73473876897222</v>
      </c>
      <c r="G17" s="2">
        <v>2.4739269838893301</v>
      </c>
      <c r="H17" s="2">
        <v>0.99555055405510895</v>
      </c>
      <c r="I17" s="2">
        <v>3.1E-2</v>
      </c>
      <c r="J17" s="2">
        <v>13.1578100075674</v>
      </c>
      <c r="K17" s="2">
        <v>16.573519649929601</v>
      </c>
      <c r="L17" s="2">
        <v>9.7421003652051308</v>
      </c>
    </row>
    <row r="18" spans="1:12" x14ac:dyDescent="0.2">
      <c r="A18" s="2">
        <v>3.3000000000000002E-2</v>
      </c>
      <c r="B18" s="2">
        <v>5.6790885954678103</v>
      </c>
      <c r="C18" s="2">
        <v>8.6779480591926994</v>
      </c>
      <c r="D18" s="2">
        <v>2.6802291317429101</v>
      </c>
      <c r="E18" s="2">
        <v>2.9000000000000001E-2</v>
      </c>
      <c r="F18" s="2">
        <v>1.7461060084221101</v>
      </c>
      <c r="G18" s="2">
        <v>2.4803584718147</v>
      </c>
      <c r="H18" s="2">
        <v>1.0118535450295301</v>
      </c>
      <c r="I18" s="2">
        <v>3.3000000000000002E-2</v>
      </c>
      <c r="J18" s="2">
        <v>12.9537550613621</v>
      </c>
      <c r="K18" s="2">
        <v>16.286066257289001</v>
      </c>
      <c r="L18" s="2">
        <v>9.6214438654352499</v>
      </c>
    </row>
    <row r="19" spans="1:12" x14ac:dyDescent="0.2">
      <c r="A19" s="2">
        <v>3.5000000000000003E-2</v>
      </c>
      <c r="B19" s="2">
        <v>5.5677503924347302</v>
      </c>
      <c r="C19" s="2">
        <v>8.4903439603191497</v>
      </c>
      <c r="D19" s="2">
        <v>2.6451568245503099</v>
      </c>
      <c r="E19" s="2">
        <v>3.1E-2</v>
      </c>
      <c r="F19" s="2">
        <v>1.7687092594959</v>
      </c>
      <c r="G19" s="2">
        <v>2.50241931362376</v>
      </c>
      <c r="H19" s="2">
        <v>1.0349992053680499</v>
      </c>
      <c r="I19" s="2">
        <v>3.5000000000000003E-2</v>
      </c>
      <c r="J19" s="2">
        <v>12.7584820692141</v>
      </c>
      <c r="K19" s="2">
        <v>16.103078945571198</v>
      </c>
      <c r="L19" s="2">
        <v>9.4138851928570997</v>
      </c>
    </row>
    <row r="20" spans="1:12" x14ac:dyDescent="0.2">
      <c r="A20" s="2">
        <v>3.5999999999999997E-2</v>
      </c>
      <c r="B20" s="2">
        <v>5.5125981783636302</v>
      </c>
      <c r="C20" s="2">
        <v>8.3988872611361405</v>
      </c>
      <c r="D20" s="2">
        <v>2.6263090955911101</v>
      </c>
      <c r="E20" s="2">
        <v>3.3000000000000002E-2</v>
      </c>
      <c r="F20" s="2">
        <v>1.79113754013503</v>
      </c>
      <c r="G20" s="2">
        <v>2.5241069980680102</v>
      </c>
      <c r="H20" s="2">
        <v>1.0581680822020401</v>
      </c>
      <c r="I20" s="2">
        <v>3.6999999999999998E-2</v>
      </c>
      <c r="J20" s="2">
        <v>12.5719910311234</v>
      </c>
      <c r="K20" s="2">
        <v>15.8876134190531</v>
      </c>
      <c r="L20" s="2">
        <v>9.2563686431936905</v>
      </c>
    </row>
    <row r="21" spans="1:12" x14ac:dyDescent="0.2">
      <c r="A21" s="2">
        <v>3.6999999999999998E-2</v>
      </c>
      <c r="B21" s="2">
        <v>5.4577905559228101</v>
      </c>
      <c r="C21" s="2">
        <v>8.3089941287889797</v>
      </c>
      <c r="D21" s="2">
        <v>2.6065869830566299</v>
      </c>
      <c r="E21" s="2">
        <v>3.5000000000000003E-2</v>
      </c>
      <c r="F21" s="2">
        <v>1.81339085033949</v>
      </c>
      <c r="G21" s="2">
        <v>2.5553122715705299</v>
      </c>
      <c r="H21" s="2">
        <v>1.0714694291084501</v>
      </c>
      <c r="I21" s="2">
        <v>4.1000000000000002E-2</v>
      </c>
      <c r="J21" s="2">
        <v>12.225354817113599</v>
      </c>
      <c r="K21" s="2">
        <v>15.496192017339199</v>
      </c>
      <c r="L21" s="2">
        <v>8.9545176168881007</v>
      </c>
    </row>
    <row r="22" spans="1:12" x14ac:dyDescent="0.2">
      <c r="A22" s="2">
        <v>4.1000000000000002E-2</v>
      </c>
      <c r="B22" s="2">
        <v>5.2420059824624001</v>
      </c>
      <c r="C22" s="2">
        <v>8.0314731527660097</v>
      </c>
      <c r="D22" s="2">
        <v>2.4525388121587999</v>
      </c>
      <c r="E22" s="2">
        <v>3.5999999999999997E-2</v>
      </c>
      <c r="F22" s="2">
        <v>1.82445189152872</v>
      </c>
      <c r="G22" s="2">
        <v>2.5808158821171898</v>
      </c>
      <c r="H22" s="2">
        <v>1.06808790094024</v>
      </c>
      <c r="I22" s="2">
        <v>4.2999999999999997E-2</v>
      </c>
      <c r="J22" s="2">
        <v>12.065209641194601</v>
      </c>
      <c r="K22" s="2">
        <v>15.408209831358199</v>
      </c>
      <c r="L22" s="2">
        <v>8.7222094510310804</v>
      </c>
    </row>
    <row r="23" spans="1:12" x14ac:dyDescent="0.2">
      <c r="A23" s="2">
        <v>4.2999999999999997E-2</v>
      </c>
      <c r="B23" s="2">
        <v>5.13618124551392</v>
      </c>
      <c r="C23" s="2">
        <v>7.9000173965299103</v>
      </c>
      <c r="D23" s="2">
        <v>2.3723450944979398</v>
      </c>
      <c r="E23" s="2">
        <v>3.6999999999999998E-2</v>
      </c>
      <c r="F23" s="2">
        <v>1.8354691901092799</v>
      </c>
      <c r="G23" s="2">
        <v>2.5963932126632301</v>
      </c>
      <c r="H23" s="2">
        <v>1.0745451675553399</v>
      </c>
      <c r="I23" s="2">
        <v>4.4999999999999998E-2</v>
      </c>
      <c r="J23" s="2">
        <v>11.9138464193329</v>
      </c>
      <c r="K23" s="2">
        <v>15.1574501507216</v>
      </c>
      <c r="L23" s="2">
        <v>8.6702426879441301</v>
      </c>
    </row>
    <row r="24" spans="1:12" x14ac:dyDescent="0.2">
      <c r="A24" s="2">
        <v>4.4999999999999998E-2</v>
      </c>
      <c r="B24" s="2">
        <v>5.0317348750865998</v>
      </c>
      <c r="C24" s="2">
        <v>7.70990339320005</v>
      </c>
      <c r="D24" s="2">
        <v>2.3535663569731402</v>
      </c>
      <c r="E24" s="2">
        <v>4.1000000000000002E-2</v>
      </c>
      <c r="F24" s="2">
        <v>1.8791009583448799</v>
      </c>
      <c r="G24" s="2">
        <v>2.6686160335402</v>
      </c>
      <c r="H24" s="2">
        <v>1.08958588314955</v>
      </c>
      <c r="I24" s="2">
        <v>4.7E-2</v>
      </c>
      <c r="J24" s="2">
        <v>11.7712651515284</v>
      </c>
      <c r="K24" s="2">
        <v>15.007834043074</v>
      </c>
      <c r="L24" s="2">
        <v>8.5346962599827503</v>
      </c>
    </row>
    <row r="25" spans="1:12" x14ac:dyDescent="0.2">
      <c r="A25" s="2">
        <v>4.7E-2</v>
      </c>
      <c r="B25" s="2">
        <v>4.9286668711804102</v>
      </c>
      <c r="C25" s="2">
        <v>7.5273686411682199</v>
      </c>
      <c r="D25" s="2">
        <v>2.3299651011926099</v>
      </c>
      <c r="E25" s="2">
        <v>4.2999999999999997E-2</v>
      </c>
      <c r="F25" s="2">
        <v>1.90065438681067</v>
      </c>
      <c r="G25" s="2">
        <v>2.70989302247773</v>
      </c>
      <c r="H25" s="2">
        <v>1.09141575114362</v>
      </c>
      <c r="I25" s="2">
        <v>4.8000000000000001E-2</v>
      </c>
      <c r="J25" s="2">
        <v>11.7032677503976</v>
      </c>
      <c r="K25" s="2">
        <v>15.112813179193401</v>
      </c>
      <c r="L25" s="2">
        <v>8.2937223216017202</v>
      </c>
    </row>
    <row r="26" spans="1:12" x14ac:dyDescent="0.2">
      <c r="A26" s="2">
        <v>4.8000000000000001E-2</v>
      </c>
      <c r="B26" s="2">
        <v>4.8776497566727599</v>
      </c>
      <c r="C26" s="2">
        <v>7.5475463196219899</v>
      </c>
      <c r="D26" s="2">
        <v>2.2077531937235202</v>
      </c>
      <c r="E26" s="2">
        <v>4.4999999999999998E-2</v>
      </c>
      <c r="F26" s="2">
        <v>1.92203284484181</v>
      </c>
      <c r="G26" s="2">
        <v>2.7302848383359799</v>
      </c>
      <c r="H26" s="2">
        <v>1.1137808513476399</v>
      </c>
      <c r="I26" s="2">
        <v>0.05</v>
      </c>
      <c r="J26" s="2">
        <v>11.5738594136789</v>
      </c>
      <c r="K26" s="2">
        <v>15.026633413678899</v>
      </c>
      <c r="L26" s="2">
        <v>8.1210854136789408</v>
      </c>
    </row>
    <row r="27" spans="1:12" x14ac:dyDescent="0.2">
      <c r="A27" s="2">
        <v>5.1999999999999998E-2</v>
      </c>
      <c r="B27" s="2">
        <v>4.6770272149449896</v>
      </c>
      <c r="C27" s="2">
        <v>7.3591810863533</v>
      </c>
      <c r="D27" s="2">
        <v>1.9948733435366801</v>
      </c>
      <c r="E27" s="2">
        <v>4.7E-2</v>
      </c>
      <c r="F27" s="2">
        <v>1.94323633243828</v>
      </c>
      <c r="G27" s="2">
        <v>2.7609160440252398</v>
      </c>
      <c r="H27" s="2">
        <v>1.1255566208513199</v>
      </c>
      <c r="I27" s="2">
        <v>5.1999999999999998E-2</v>
      </c>
      <c r="J27" s="2">
        <v>11.453233031017501</v>
      </c>
      <c r="K27" s="2">
        <v>14.9102078927941</v>
      </c>
      <c r="L27" s="2">
        <v>7.9962581692409502</v>
      </c>
    </row>
    <row r="28" spans="1:12" x14ac:dyDescent="0.2">
      <c r="A28" s="2">
        <v>5.3999999999999999E-2</v>
      </c>
      <c r="B28" s="2">
        <v>4.5787834938628302</v>
      </c>
      <c r="C28" s="2">
        <v>7.3177503987848098</v>
      </c>
      <c r="D28" s="2">
        <v>1.83981658894085</v>
      </c>
      <c r="E28" s="2">
        <v>4.8000000000000001E-2</v>
      </c>
      <c r="F28" s="2">
        <v>1.95377246232351</v>
      </c>
      <c r="G28" s="2">
        <v>2.7975421044555402</v>
      </c>
      <c r="H28" s="2">
        <v>1.11000282019149</v>
      </c>
      <c r="I28" s="2">
        <v>5.3999999999999999E-2</v>
      </c>
      <c r="J28" s="2">
        <v>11.341388602413399</v>
      </c>
      <c r="K28" s="2">
        <v>14.9827353265354</v>
      </c>
      <c r="L28" s="2">
        <v>7.7000418782914197</v>
      </c>
    </row>
    <row r="29" spans="1:12" x14ac:dyDescent="0.2">
      <c r="A29" s="2">
        <v>5.8000000000000003E-2</v>
      </c>
      <c r="B29" s="2">
        <v>4.3864311512619603</v>
      </c>
      <c r="C29" s="2">
        <v>7.33759096673763</v>
      </c>
      <c r="D29" s="2">
        <v>1.4352713357862801</v>
      </c>
      <c r="E29" s="2">
        <v>0.05</v>
      </c>
      <c r="F29" s="2">
        <v>1.97471349426799</v>
      </c>
      <c r="G29" s="2">
        <v>2.8606280360502998</v>
      </c>
      <c r="H29" s="2">
        <v>1.08879895248568</v>
      </c>
      <c r="I29" s="2">
        <v>5.8000000000000003E-2</v>
      </c>
      <c r="J29" s="2">
        <v>11.1440456073768</v>
      </c>
      <c r="K29" s="2">
        <v>15.1287488026299</v>
      </c>
      <c r="L29" s="2">
        <v>7.1593424121238298</v>
      </c>
    </row>
    <row r="30" spans="1:12" x14ac:dyDescent="0.2">
      <c r="A30" s="2">
        <v>6.4000000000000001E-2</v>
      </c>
      <c r="B30" s="2">
        <v>4.1082403862692702</v>
      </c>
      <c r="C30" s="2">
        <v>7.0208185660580904</v>
      </c>
      <c r="D30" s="2">
        <v>1.1956622064804501</v>
      </c>
      <c r="E30" s="2">
        <v>5.1999999999999998E-2</v>
      </c>
      <c r="F30" s="2">
        <v>1.99547955577779</v>
      </c>
      <c r="G30" s="2">
        <v>2.9024667397844102</v>
      </c>
      <c r="H30" s="2">
        <v>1.0884923717711801</v>
      </c>
      <c r="I30" s="2">
        <v>6.2E-2</v>
      </c>
      <c r="J30" s="2">
        <v>10.9818304285693</v>
      </c>
      <c r="K30" s="2">
        <v>15.113964245124301</v>
      </c>
      <c r="L30" s="2">
        <v>6.8496966120142497</v>
      </c>
    </row>
    <row r="31" spans="1:12" x14ac:dyDescent="0.2">
      <c r="A31" s="2">
        <v>6.6000000000000003E-2</v>
      </c>
      <c r="B31" s="2">
        <v>4.0182668643139996</v>
      </c>
      <c r="C31" s="2">
        <v>6.8435088643139999</v>
      </c>
      <c r="D31" s="2">
        <v>1.193024864314</v>
      </c>
      <c r="E31" s="2">
        <v>5.3999999999999999E-2</v>
      </c>
      <c r="F31" s="2">
        <v>2.0160706468529401</v>
      </c>
      <c r="G31" s="2">
        <v>2.9775763817840999</v>
      </c>
      <c r="H31" s="2">
        <v>1.0545649119217699</v>
      </c>
      <c r="I31" s="2">
        <v>6.4000000000000001E-2</v>
      </c>
      <c r="J31" s="2">
        <v>10.913895770251401</v>
      </c>
      <c r="K31" s="2">
        <v>15.038329861911899</v>
      </c>
      <c r="L31" s="2">
        <v>6.7894616785908601</v>
      </c>
    </row>
    <row r="32" spans="1:12" x14ac:dyDescent="0.2">
      <c r="A32" s="2">
        <v>6.9000000000000006E-2</v>
      </c>
      <c r="B32" s="2">
        <v>3.88589101860825</v>
      </c>
      <c r="C32" s="2">
        <v>6.8365347840787898</v>
      </c>
      <c r="D32" s="2">
        <v>0.93524725313772195</v>
      </c>
      <c r="E32" s="2">
        <v>5.6000000000000001E-2</v>
      </c>
      <c r="F32" s="2">
        <v>2.0364867674934102</v>
      </c>
      <c r="G32" s="2">
        <v>3.0647281479405</v>
      </c>
      <c r="H32" s="2">
        <v>1.0082453870463299</v>
      </c>
      <c r="I32" s="2">
        <v>6.6000000000000003E-2</v>
      </c>
      <c r="J32" s="2">
        <v>10.8547430659907</v>
      </c>
      <c r="K32" s="2">
        <v>14.975996196932501</v>
      </c>
      <c r="L32" s="2">
        <v>6.73348993504883</v>
      </c>
    </row>
    <row r="33" spans="1:12" x14ac:dyDescent="0.2">
      <c r="A33" s="2">
        <v>7.0999999999999994E-2</v>
      </c>
      <c r="B33" s="2">
        <v>3.7993634129558602</v>
      </c>
      <c r="C33" s="2">
        <v>6.8515168367674102</v>
      </c>
      <c r="D33" s="2">
        <v>0.74720998914431702</v>
      </c>
      <c r="E33" s="2">
        <v>0.06</v>
      </c>
      <c r="F33" s="2">
        <v>2.0767940974703798</v>
      </c>
      <c r="G33" s="2">
        <v>3.1624131821050798</v>
      </c>
      <c r="H33" s="2">
        <v>0.991175012835671</v>
      </c>
      <c r="I33" s="2">
        <v>6.9000000000000006E-2</v>
      </c>
      <c r="J33" s="2">
        <v>10.782480173456999</v>
      </c>
      <c r="K33" s="2">
        <v>15.116769070162301</v>
      </c>
      <c r="L33" s="2">
        <v>6.4481912767517899</v>
      </c>
    </row>
    <row r="34" spans="1:12" x14ac:dyDescent="0.2">
      <c r="A34" s="2">
        <v>7.4999999999999997E-2</v>
      </c>
      <c r="B34" s="2">
        <v>3.6304433012145201</v>
      </c>
      <c r="C34" s="2">
        <v>6.9079414162822204</v>
      </c>
      <c r="D34" s="2">
        <v>0.35294518614682202</v>
      </c>
      <c r="E34" s="2">
        <v>6.6000000000000003E-2</v>
      </c>
      <c r="F34" s="2">
        <v>2.1359428141758299</v>
      </c>
      <c r="G34" s="2">
        <v>3.2458916320136399</v>
      </c>
      <c r="H34" s="2">
        <v>1.02599399633802</v>
      </c>
      <c r="I34" s="2">
        <v>7.0999999999999994E-2</v>
      </c>
      <c r="J34" s="2">
        <v>10.7452823543395</v>
      </c>
      <c r="K34" s="2">
        <v>15.2785701355394</v>
      </c>
      <c r="L34" s="2">
        <v>6.2119945731395303</v>
      </c>
    </row>
    <row r="35" spans="1:12" x14ac:dyDescent="0.2">
      <c r="A35" s="2">
        <v>7.9000000000000001E-2</v>
      </c>
      <c r="B35" s="2">
        <v>3.4670366555577701</v>
      </c>
      <c r="C35" s="2">
        <v>6.94276687815724</v>
      </c>
      <c r="D35" s="2">
        <v>-8.6935670416947598E-3</v>
      </c>
      <c r="E35" s="2">
        <v>7.0999999999999994E-2</v>
      </c>
      <c r="F35" s="2">
        <v>2.1840304896920499</v>
      </c>
      <c r="G35" s="2">
        <v>3.3968795724910601</v>
      </c>
      <c r="H35" s="2">
        <v>0.971181406893045</v>
      </c>
      <c r="I35" s="2">
        <v>7.4999999999999997E-2</v>
      </c>
      <c r="J35" s="2">
        <v>10.6972325782761</v>
      </c>
      <c r="K35" s="2">
        <v>15.6577596446143</v>
      </c>
      <c r="L35" s="2">
        <v>5.7367055119379202</v>
      </c>
    </row>
    <row r="36" spans="1:12" x14ac:dyDescent="0.2">
      <c r="A36" s="2">
        <v>8.1000000000000003E-2</v>
      </c>
      <c r="B36" s="2">
        <v>3.3874008825111299</v>
      </c>
      <c r="C36" s="2">
        <v>6.88278906928939</v>
      </c>
      <c r="D36" s="2">
        <v>-0.107987304267134</v>
      </c>
      <c r="E36" s="2">
        <v>7.4999999999999997E-2</v>
      </c>
      <c r="F36" s="2">
        <v>2.2217132631490402</v>
      </c>
      <c r="G36" s="2">
        <v>3.52237129622358</v>
      </c>
      <c r="H36" s="2">
        <v>0.92105523007449597</v>
      </c>
      <c r="I36" s="2">
        <v>7.9000000000000001E-2</v>
      </c>
      <c r="J36" s="2">
        <v>10.6843106184417</v>
      </c>
      <c r="K36" s="2">
        <v>15.963781416175699</v>
      </c>
      <c r="L36" s="2">
        <v>5.4048398207077302</v>
      </c>
    </row>
    <row r="37" spans="1:12" x14ac:dyDescent="0.2">
      <c r="A37" s="2">
        <v>8.5000000000000006E-2</v>
      </c>
      <c r="B37" s="2">
        <v>3.23226443598127</v>
      </c>
      <c r="C37" s="2">
        <v>6.9111817156809803</v>
      </c>
      <c r="D37" s="2">
        <v>-0.446652843718434</v>
      </c>
      <c r="E37" s="2">
        <v>7.9000000000000001E-2</v>
      </c>
      <c r="F37" s="2">
        <v>2.2586961548673701</v>
      </c>
      <c r="G37" s="2">
        <v>3.6499761719193602</v>
      </c>
      <c r="H37" s="2">
        <v>0.86741613781537596</v>
      </c>
      <c r="I37" s="2">
        <v>8.1000000000000003E-2</v>
      </c>
      <c r="J37" s="2">
        <v>10.6910225696104</v>
      </c>
      <c r="K37" s="2">
        <v>15.955045660642201</v>
      </c>
      <c r="L37" s="2">
        <v>5.4269994785786304</v>
      </c>
    </row>
    <row r="38" spans="1:12" x14ac:dyDescent="0.2">
      <c r="A38" s="2">
        <v>8.5999999999999993E-2</v>
      </c>
      <c r="B38" s="2">
        <v>3.1943418034245301</v>
      </c>
      <c r="C38" s="2">
        <v>6.9401370603623</v>
      </c>
      <c r="D38" s="2">
        <v>-0.55145345351323904</v>
      </c>
      <c r="E38" s="2">
        <v>8.1000000000000003E-2</v>
      </c>
      <c r="F38" s="2">
        <v>2.27692514507453</v>
      </c>
      <c r="G38" s="2">
        <v>3.6570744410463099</v>
      </c>
      <c r="H38" s="2">
        <v>0.89677584910275498</v>
      </c>
      <c r="I38" s="2">
        <v>8.5000000000000006E-2</v>
      </c>
      <c r="J38" s="2">
        <v>10.730792334119499</v>
      </c>
      <c r="K38" s="2">
        <v>15.9370271506632</v>
      </c>
      <c r="L38" s="2">
        <v>5.5245575175758201</v>
      </c>
    </row>
    <row r="39" spans="1:12" x14ac:dyDescent="0.2">
      <c r="A39" s="2">
        <v>0.09</v>
      </c>
      <c r="B39" s="2">
        <v>3.0460971895004199</v>
      </c>
      <c r="C39" s="2">
        <v>7.2168671086828704</v>
      </c>
      <c r="D39" s="2">
        <v>-1.12467272968202</v>
      </c>
      <c r="E39" s="2">
        <v>8.5000000000000006E-2</v>
      </c>
      <c r="F39" s="2">
        <v>2.3128582141848701</v>
      </c>
      <c r="G39" s="2">
        <v>3.7475903401502899</v>
      </c>
      <c r="H39" s="2">
        <v>0.87812608821944604</v>
      </c>
      <c r="I39" s="2">
        <v>8.5999999999999993E-2</v>
      </c>
      <c r="J39" s="2">
        <v>10.7462234965326</v>
      </c>
      <c r="K39" s="2">
        <v>15.9757962702624</v>
      </c>
      <c r="L39" s="2">
        <v>5.5166507228027299</v>
      </c>
    </row>
    <row r="40" spans="1:12" x14ac:dyDescent="0.2">
      <c r="A40" s="2">
        <v>9.4E-2</v>
      </c>
      <c r="B40" s="2">
        <v>2.9033660416609099</v>
      </c>
      <c r="C40" s="2">
        <v>7.2028093261492403</v>
      </c>
      <c r="D40" s="2">
        <v>-1.39607724282742</v>
      </c>
      <c r="E40" s="2">
        <v>0.09</v>
      </c>
      <c r="F40" s="2">
        <v>2.3567903418778</v>
      </c>
      <c r="G40" s="2">
        <v>3.96187785647371</v>
      </c>
      <c r="H40" s="2">
        <v>0.75170282728188798</v>
      </c>
      <c r="I40" s="2">
        <v>0.09</v>
      </c>
      <c r="J40" s="2">
        <v>10.8299030313279</v>
      </c>
      <c r="K40" s="2">
        <v>16.2979535247934</v>
      </c>
      <c r="L40" s="2">
        <v>5.3618525378623803</v>
      </c>
    </row>
    <row r="41" spans="1:12" x14ac:dyDescent="0.2">
      <c r="A41" s="2">
        <v>9.8000000000000004E-2</v>
      </c>
      <c r="B41" s="2">
        <v>2.7661483599059999</v>
      </c>
      <c r="C41" s="2">
        <v>7.1270298480619401</v>
      </c>
      <c r="D41" s="2">
        <v>-1.5947331282499499</v>
      </c>
      <c r="E41" s="2">
        <v>9.4E-2</v>
      </c>
      <c r="F41" s="2">
        <v>2.3911486770761501</v>
      </c>
      <c r="G41" s="2">
        <v>3.9875207846188099</v>
      </c>
      <c r="H41" s="2">
        <v>0.79477656953350095</v>
      </c>
      <c r="I41" s="2">
        <v>9.4E-2</v>
      </c>
      <c r="J41" s="2">
        <v>10.9487103823522</v>
      </c>
      <c r="K41" s="2">
        <v>16.2759120409129</v>
      </c>
      <c r="L41" s="2">
        <v>5.6215087237914902</v>
      </c>
    </row>
    <row r="42" spans="1:12" x14ac:dyDescent="0.2">
      <c r="A42" s="2">
        <v>0.1</v>
      </c>
      <c r="B42" s="2">
        <v>2.69960706881026</v>
      </c>
      <c r="C42" s="2">
        <v>7.1073778782310404</v>
      </c>
      <c r="D42" s="2">
        <v>-1.7081637406105199</v>
      </c>
      <c r="E42" s="2">
        <v>9.8000000000000004E-2</v>
      </c>
      <c r="F42" s="2">
        <v>2.4248071305358501</v>
      </c>
      <c r="G42" s="2">
        <v>3.9623592497775002</v>
      </c>
      <c r="H42" s="2">
        <v>0.88725501129420004</v>
      </c>
      <c r="I42" s="2">
        <v>9.8000000000000004E-2</v>
      </c>
      <c r="J42" s="2">
        <v>11.1026455496055</v>
      </c>
      <c r="K42" s="2">
        <v>16.346814955662602</v>
      </c>
      <c r="L42" s="2">
        <v>5.85847614354845</v>
      </c>
    </row>
    <row r="43" spans="1:12" x14ac:dyDescent="0.2">
      <c r="A43" s="2">
        <v>0.107</v>
      </c>
      <c r="B43" s="2">
        <v>2.4775671863292401</v>
      </c>
      <c r="C43" s="2">
        <v>6.97695238573165</v>
      </c>
      <c r="D43" s="2">
        <v>-2.0218180130731702</v>
      </c>
      <c r="E43" s="2">
        <v>0.1</v>
      </c>
      <c r="F43" s="2">
        <v>2.4413739016137002</v>
      </c>
      <c r="G43" s="2">
        <v>3.9718621984450402</v>
      </c>
      <c r="H43" s="2">
        <v>0.91088560478235603</v>
      </c>
      <c r="I43" s="2">
        <v>0.1</v>
      </c>
      <c r="J43" s="2">
        <v>11.192786064318</v>
      </c>
      <c r="K43" s="2">
        <v>16.491281297507399</v>
      </c>
      <c r="L43" s="2">
        <v>5.8942908311286599</v>
      </c>
    </row>
    <row r="44" spans="1:12" x14ac:dyDescent="0.2">
      <c r="A44" s="2">
        <v>0.111</v>
      </c>
      <c r="B44" s="2">
        <v>2.35826826934926</v>
      </c>
      <c r="C44" s="2">
        <v>6.8271043058189198</v>
      </c>
      <c r="D44" s="2">
        <v>-2.1105677671204002</v>
      </c>
      <c r="E44" s="2">
        <v>0.104</v>
      </c>
      <c r="F44" s="2">
        <v>2.4739825324654001</v>
      </c>
      <c r="G44" s="2">
        <v>3.9939024763085098</v>
      </c>
      <c r="H44" s="2">
        <v>0.95406258862229398</v>
      </c>
      <c r="I44" s="2">
        <v>0.107</v>
      </c>
      <c r="J44" s="2">
        <v>11.577435754012701</v>
      </c>
      <c r="K44" s="2">
        <v>17.076467411158799</v>
      </c>
      <c r="L44" s="2">
        <v>6.0784040968665298</v>
      </c>
    </row>
    <row r="45" spans="1:12" x14ac:dyDescent="0.2">
      <c r="A45" s="2">
        <v>0.121</v>
      </c>
      <c r="B45" s="2">
        <v>2.0841423910194101</v>
      </c>
      <c r="C45" s="2">
        <v>6.2261848433259699</v>
      </c>
      <c r="D45" s="2">
        <v>-2.0579000612871399</v>
      </c>
      <c r="E45" s="2">
        <v>0.107</v>
      </c>
      <c r="F45" s="2">
        <v>2.4979797082131801</v>
      </c>
      <c r="G45" s="2">
        <v>3.9684443626000099</v>
      </c>
      <c r="H45" s="2">
        <v>1.02751505382636</v>
      </c>
      <c r="I45" s="2">
        <v>0.111</v>
      </c>
      <c r="J45" s="2">
        <v>11.845536324010199</v>
      </c>
      <c r="K45" s="2">
        <v>17.423356703698001</v>
      </c>
      <c r="L45" s="2">
        <v>6.2677159443223998</v>
      </c>
    </row>
    <row r="46" spans="1:12" x14ac:dyDescent="0.2">
      <c r="A46" s="2">
        <v>0.126</v>
      </c>
      <c r="B46" s="2">
        <v>1.9600016379902601</v>
      </c>
      <c r="C46" s="2">
        <v>6.2555226379902704</v>
      </c>
      <c r="D46" s="2">
        <v>-2.3355193620097401</v>
      </c>
      <c r="E46" s="2">
        <v>0.111</v>
      </c>
      <c r="F46" s="2">
        <v>2.5293635460222301</v>
      </c>
      <c r="G46" s="2">
        <v>3.9555977733202501</v>
      </c>
      <c r="H46" s="2">
        <v>1.1031293187242099</v>
      </c>
      <c r="I46" s="2">
        <v>0.121</v>
      </c>
      <c r="J46" s="2">
        <v>12.6694719450058</v>
      </c>
      <c r="K46" s="2">
        <v>18.153884922793299</v>
      </c>
      <c r="L46" s="2">
        <v>7.1850589672182501</v>
      </c>
    </row>
    <row r="47" spans="1:12" x14ac:dyDescent="0.2">
      <c r="A47" s="2"/>
      <c r="B47" s="2"/>
      <c r="C47" s="2"/>
      <c r="D47" s="2"/>
      <c r="E47" s="2">
        <v>0.121</v>
      </c>
      <c r="F47" s="2">
        <v>2.6047611579382202</v>
      </c>
      <c r="G47" s="2">
        <v>3.7597902824616098</v>
      </c>
      <c r="H47" s="2">
        <v>1.44973203341484</v>
      </c>
      <c r="I47" s="2">
        <v>0.126</v>
      </c>
      <c r="J47" s="2">
        <v>13.1637705747903</v>
      </c>
      <c r="K47" s="2">
        <v>19.064080574790299</v>
      </c>
      <c r="L47" s="2">
        <v>7.2634605747902601</v>
      </c>
    </row>
    <row r="48" spans="1:12" x14ac:dyDescent="0.2">
      <c r="A48" s="2"/>
      <c r="B48" s="2"/>
      <c r="C48" s="2"/>
      <c r="D48" s="2"/>
      <c r="E48" s="2">
        <v>0.126</v>
      </c>
      <c r="F48" s="2">
        <v>2.6408196160712301</v>
      </c>
      <c r="G48" s="2">
        <v>3.6959020591712299</v>
      </c>
      <c r="H48" s="2">
        <v>1.58573717297123</v>
      </c>
      <c r="I48" s="2"/>
      <c r="J48" s="2"/>
      <c r="K48" s="2"/>
      <c r="L48" s="2"/>
    </row>
    <row r="49" spans="1:1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ADE8-089E-ED41-BBB4-A5710A4601A0}">
  <sheetPr>
    <tabColor theme="0" tint="-0.499984740745262"/>
  </sheetPr>
  <dimension ref="A1:N8"/>
  <sheetViews>
    <sheetView workbookViewId="0">
      <selection activeCell="N2" sqref="N2:N3"/>
    </sheetView>
  </sheetViews>
  <sheetFormatPr baseColWidth="10" defaultColWidth="11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1</v>
      </c>
      <c r="B2" s="2">
        <v>4.8432719999999998</v>
      </c>
      <c r="C2" s="2">
        <v>1.931543</v>
      </c>
      <c r="D2" s="2">
        <v>7.755001</v>
      </c>
      <c r="E2" s="2">
        <v>1</v>
      </c>
      <c r="F2" s="2">
        <v>2.1180978369000001</v>
      </c>
      <c r="G2" s="2">
        <v>1.3486016190000001</v>
      </c>
      <c r="H2" s="2">
        <v>2.8875940548000001</v>
      </c>
      <c r="I2" s="2">
        <v>1</v>
      </c>
      <c r="J2" s="2">
        <v>12.936976</v>
      </c>
      <c r="K2" s="2">
        <v>8.8723179999999999</v>
      </c>
      <c r="L2" s="2">
        <v>17.045339999999999</v>
      </c>
      <c r="N2">
        <f>MIN(J:J)</f>
        <v>11.888032000000001</v>
      </c>
    </row>
    <row r="3" spans="1:14" x14ac:dyDescent="0.2">
      <c r="A3" s="2">
        <v>2</v>
      </c>
      <c r="B3" s="2">
        <v>5.1603909999999997</v>
      </c>
      <c r="C3" s="2">
        <v>1.3837919999999999</v>
      </c>
      <c r="D3" s="2">
        <v>8.9369899999999998</v>
      </c>
      <c r="E3" s="2">
        <v>2</v>
      </c>
      <c r="F3" s="2">
        <v>2.0942989848</v>
      </c>
      <c r="G3" s="2">
        <v>1.1423449008</v>
      </c>
      <c r="H3" s="2">
        <v>3.0462530688</v>
      </c>
      <c r="I3" s="2">
        <v>2</v>
      </c>
      <c r="J3" s="2">
        <v>11.888032000000001</v>
      </c>
      <c r="K3" s="2">
        <v>6.7307240000000004</v>
      </c>
      <c r="L3" s="2">
        <v>17.089046</v>
      </c>
      <c r="N3">
        <f>MAX(J:J)</f>
        <v>21.197410000000001</v>
      </c>
    </row>
    <row r="4" spans="1:14" x14ac:dyDescent="0.2">
      <c r="A4" s="2">
        <v>3</v>
      </c>
      <c r="B4" s="2">
        <v>6.7459860000000003</v>
      </c>
      <c r="C4" s="2">
        <v>4.2378629999999999</v>
      </c>
      <c r="D4" s="2">
        <v>9.2541089999999997</v>
      </c>
      <c r="E4" s="2">
        <v>3</v>
      </c>
      <c r="F4" s="2">
        <v>1.6262548935000001</v>
      </c>
      <c r="G4" s="2">
        <v>1.031283591</v>
      </c>
      <c r="H4" s="2">
        <v>2.2291591466999998</v>
      </c>
      <c r="I4" s="2">
        <v>3</v>
      </c>
      <c r="J4" s="2">
        <v>14.073332000000001</v>
      </c>
      <c r="K4" s="2">
        <v>10.751676</v>
      </c>
      <c r="L4" s="2">
        <v>17.394988000000001</v>
      </c>
    </row>
    <row r="5" spans="1:14" x14ac:dyDescent="0.2">
      <c r="A5" s="2">
        <v>4</v>
      </c>
      <c r="B5" s="2">
        <v>8.4180679999999999</v>
      </c>
      <c r="C5" s="2">
        <v>5.0739039999999997</v>
      </c>
      <c r="D5" s="2">
        <v>11.762231999999999</v>
      </c>
      <c r="E5" s="2">
        <v>4</v>
      </c>
      <c r="F5" s="2">
        <v>1.3644675204000001</v>
      </c>
      <c r="G5" s="2">
        <v>0.57910540109999997</v>
      </c>
      <c r="H5" s="2">
        <v>2.1498296397000001</v>
      </c>
      <c r="I5" s="2">
        <v>4</v>
      </c>
      <c r="J5" s="2">
        <v>17.569811999999999</v>
      </c>
      <c r="K5" s="2">
        <v>13.111800000000001</v>
      </c>
      <c r="L5" s="2">
        <v>21.984117999999999</v>
      </c>
    </row>
    <row r="6" spans="1:14" x14ac:dyDescent="0.2">
      <c r="A6" s="2">
        <v>5</v>
      </c>
      <c r="B6" s="2">
        <v>9.9171759999999995</v>
      </c>
      <c r="C6" s="2">
        <v>5.8522869999999996</v>
      </c>
      <c r="D6" s="2">
        <v>13.982065</v>
      </c>
      <c r="E6" s="2">
        <v>5</v>
      </c>
      <c r="F6" s="2">
        <v>1.4279311260000001</v>
      </c>
      <c r="G6" s="2">
        <v>0.47597704200000002</v>
      </c>
      <c r="H6" s="2">
        <v>2.3719522593</v>
      </c>
      <c r="I6" s="2">
        <v>5</v>
      </c>
      <c r="J6" s="2">
        <v>21.197410000000001</v>
      </c>
      <c r="K6" s="2">
        <v>15.821572</v>
      </c>
      <c r="L6" s="2">
        <v>26.573248</v>
      </c>
    </row>
    <row r="7" spans="1:14" x14ac:dyDescent="0.2">
      <c r="A7" s="2">
        <v>6</v>
      </c>
      <c r="B7" s="2">
        <v>11.041506999999999</v>
      </c>
      <c r="C7" s="2">
        <v>6.0540900000000004</v>
      </c>
      <c r="D7" s="2">
        <v>16.028924</v>
      </c>
      <c r="E7" s="2">
        <v>6</v>
      </c>
      <c r="F7" s="2">
        <v>1.4120652246000001</v>
      </c>
      <c r="G7" s="2">
        <v>0.24592147170000001</v>
      </c>
      <c r="H7" s="2">
        <v>2.5782089775000001</v>
      </c>
      <c r="I7" s="2">
        <v>6</v>
      </c>
      <c r="J7" s="2">
        <v>20.760349999999999</v>
      </c>
      <c r="K7" s="2">
        <v>14.029626</v>
      </c>
      <c r="L7" s="2">
        <v>27.447368000000001</v>
      </c>
    </row>
    <row r="8" spans="1:14" x14ac:dyDescent="0.2">
      <c r="A8" s="2">
        <v>7</v>
      </c>
      <c r="B8" s="2">
        <v>11.041506999999999</v>
      </c>
      <c r="C8" s="2">
        <v>6.0540900000000004</v>
      </c>
      <c r="D8" s="2">
        <v>16.028924</v>
      </c>
      <c r="E8" s="2">
        <v>7</v>
      </c>
      <c r="F8" s="2">
        <v>1.4120652246000001</v>
      </c>
      <c r="G8" s="2">
        <v>0.24592147170000001</v>
      </c>
      <c r="H8" s="2">
        <v>2.5782089775000001</v>
      </c>
      <c r="I8" s="2">
        <v>7</v>
      </c>
      <c r="J8" s="2">
        <v>20.760349999999999</v>
      </c>
      <c r="K8" s="2">
        <v>14.029626</v>
      </c>
      <c r="L8" s="2">
        <v>27.447368000000001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A38D-AEA7-F046-A6AC-5B0822655ED1}">
  <sheetPr>
    <tabColor theme="0" tint="-0.499984740745262"/>
  </sheetPr>
  <dimension ref="A1:N6"/>
  <sheetViews>
    <sheetView workbookViewId="0">
      <selection activeCell="N2" sqref="N2:N3"/>
    </sheetView>
  </sheetViews>
  <sheetFormatPr baseColWidth="10" defaultColWidth="11" defaultRowHeight="16" x14ac:dyDescent="0.2"/>
  <cols>
    <col min="10" max="10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 t="s">
        <v>6</v>
      </c>
      <c r="B2" s="2">
        <v>4.2378629999999999</v>
      </c>
      <c r="C2" s="2">
        <v>2.8252419999999998</v>
      </c>
      <c r="D2" s="2">
        <v>5.6504839999999996</v>
      </c>
      <c r="E2" s="2" t="s">
        <v>6</v>
      </c>
      <c r="F2" s="2">
        <v>1.7452491539999999</v>
      </c>
      <c r="G2" s="2">
        <v>1.3803334218000001</v>
      </c>
      <c r="H2" s="2">
        <v>2.1101648862000002</v>
      </c>
      <c r="I2" s="2" t="s">
        <v>6</v>
      </c>
      <c r="J2" s="2">
        <v>10.314615999999999</v>
      </c>
      <c r="K2" s="2">
        <v>8.3915520000000008</v>
      </c>
      <c r="L2" s="2">
        <v>12.237679999999999</v>
      </c>
      <c r="M2" s="42"/>
      <c r="N2">
        <f>MIN(J:J)</f>
        <v>10.314615999999999</v>
      </c>
    </row>
    <row r="3" spans="1:14" x14ac:dyDescent="0.2">
      <c r="A3" s="2" t="s">
        <v>7</v>
      </c>
      <c r="B3" s="2">
        <v>6.0252610000000004</v>
      </c>
      <c r="C3" s="2">
        <v>4.4396659999999999</v>
      </c>
      <c r="D3" s="2">
        <v>7.5820270000000001</v>
      </c>
      <c r="E3" s="2" t="s">
        <v>7</v>
      </c>
      <c r="F3" s="2">
        <v>1.6579866963000001</v>
      </c>
      <c r="G3" s="2">
        <v>1.2613391613</v>
      </c>
      <c r="H3" s="2">
        <v>2.0546342313000001</v>
      </c>
      <c r="I3" s="2" t="s">
        <v>7</v>
      </c>
      <c r="J3" s="2">
        <v>12.587327999999999</v>
      </c>
      <c r="K3" s="2">
        <v>10.445734</v>
      </c>
      <c r="L3" s="2">
        <v>14.685216</v>
      </c>
      <c r="M3" s="42"/>
      <c r="N3">
        <f>MAX(J:J)</f>
        <v>19.318052000000002</v>
      </c>
    </row>
    <row r="4" spans="1:14" x14ac:dyDescent="0.2">
      <c r="A4" s="2" t="s">
        <v>8</v>
      </c>
      <c r="B4" s="2">
        <v>6.7459860000000003</v>
      </c>
      <c r="C4" s="2">
        <v>4.9585879999999998</v>
      </c>
      <c r="D4" s="2">
        <v>8.5333839999999999</v>
      </c>
      <c r="E4" s="2" t="s">
        <v>8</v>
      </c>
      <c r="F4" s="2">
        <v>1.2851380133999999</v>
      </c>
      <c r="G4" s="2">
        <v>0.84882572489999997</v>
      </c>
      <c r="H4" s="2">
        <v>1.7293832525999999</v>
      </c>
      <c r="I4" s="2" t="s">
        <v>8</v>
      </c>
      <c r="J4" s="2">
        <v>14.816333999999999</v>
      </c>
      <c r="K4" s="2">
        <v>12.45621</v>
      </c>
      <c r="L4" s="2">
        <v>17.176458</v>
      </c>
      <c r="M4" s="42"/>
      <c r="N4" s="42"/>
    </row>
    <row r="5" spans="1:14" x14ac:dyDescent="0.2">
      <c r="A5" s="2" t="s">
        <v>9</v>
      </c>
      <c r="B5" s="2">
        <v>7.697343</v>
      </c>
      <c r="C5" s="2">
        <v>5.9099449999999996</v>
      </c>
      <c r="D5" s="2">
        <v>9.4559119999999997</v>
      </c>
      <c r="E5" s="2" t="s">
        <v>9</v>
      </c>
      <c r="F5" s="2">
        <v>1.0471494924</v>
      </c>
      <c r="G5" s="2">
        <v>0.61083720389999996</v>
      </c>
      <c r="H5" s="2">
        <v>1.4755288302</v>
      </c>
      <c r="I5" s="2" t="s">
        <v>9</v>
      </c>
      <c r="J5" s="2">
        <v>16.433456</v>
      </c>
      <c r="K5" s="2">
        <v>14.117038000000001</v>
      </c>
      <c r="L5" s="2">
        <v>18.749873999999998</v>
      </c>
      <c r="M5" s="42"/>
      <c r="N5" s="42"/>
    </row>
    <row r="6" spans="1:14" x14ac:dyDescent="0.2">
      <c r="A6" s="2" t="s">
        <v>10</v>
      </c>
      <c r="B6" s="2">
        <v>7.697343</v>
      </c>
      <c r="C6" s="2">
        <v>5.9099449999999996</v>
      </c>
      <c r="D6" s="2">
        <v>9.4559119999999997</v>
      </c>
      <c r="E6" s="2" t="s">
        <v>10</v>
      </c>
      <c r="F6" s="2">
        <v>1.0550824431000001</v>
      </c>
      <c r="G6" s="2">
        <v>0.33318392940000002</v>
      </c>
      <c r="H6" s="2">
        <v>1.7690480061</v>
      </c>
      <c r="I6" s="2" t="s">
        <v>10</v>
      </c>
      <c r="J6" s="2">
        <v>19.318052000000002</v>
      </c>
      <c r="K6" s="2">
        <v>15.384512000000001</v>
      </c>
      <c r="L6" s="2">
        <v>23.251591999999999</v>
      </c>
      <c r="M6" s="42"/>
      <c r="N6" s="4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C4E9-9D6D-9645-B0B2-527141174761}">
  <sheetPr>
    <tabColor theme="0" tint="-0.499984740745262"/>
  </sheetPr>
  <dimension ref="A1:N19"/>
  <sheetViews>
    <sheetView workbookViewId="0">
      <selection activeCell="N30" sqref="N30"/>
    </sheetView>
  </sheetViews>
  <sheetFormatPr baseColWidth="10" defaultColWidth="11" defaultRowHeight="16" x14ac:dyDescent="0.2"/>
  <cols>
    <col min="9" max="9" width="13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3</v>
      </c>
      <c r="I1" s="1" t="s">
        <v>0</v>
      </c>
      <c r="J1" s="1" t="s">
        <v>5</v>
      </c>
      <c r="K1" s="1" t="s">
        <v>2</v>
      </c>
      <c r="L1" s="1" t="s">
        <v>3</v>
      </c>
    </row>
    <row r="2" spans="1:14" x14ac:dyDescent="0.2">
      <c r="A2" s="2">
        <v>0</v>
      </c>
      <c r="B2" s="2">
        <v>3.3153350000000001</v>
      </c>
      <c r="C2" s="2">
        <v>1.4991080000000001</v>
      </c>
      <c r="D2" s="2">
        <v>5.1315619999999997</v>
      </c>
      <c r="E2" s="2">
        <v>0</v>
      </c>
      <c r="F2" s="2">
        <v>2.062567182</v>
      </c>
      <c r="G2" s="2">
        <v>1.5945230907000001</v>
      </c>
      <c r="H2" s="2">
        <v>2.5385442239999998</v>
      </c>
      <c r="I2" s="2">
        <v>0</v>
      </c>
      <c r="J2" s="2">
        <v>10.48944</v>
      </c>
      <c r="K2" s="2">
        <v>7.9544920000000001</v>
      </c>
      <c r="L2" s="2">
        <v>12.980682</v>
      </c>
      <c r="N2">
        <f>MIN(J:J)</f>
        <v>10.48944</v>
      </c>
    </row>
    <row r="3" spans="1:14" x14ac:dyDescent="0.2">
      <c r="A3" s="2">
        <v>0.1</v>
      </c>
      <c r="B3" s="2">
        <f>((B$12-B$2)*$A3) + B$2</f>
        <v>3.5517327999999999</v>
      </c>
      <c r="C3" s="2">
        <f t="shared" ref="C3:D11" si="0">((C$12-C$2)*$A3) + C$2</f>
        <v>1.8046954000000002</v>
      </c>
      <c r="D3" s="2">
        <f t="shared" si="0"/>
        <v>5.3016530999999993</v>
      </c>
      <c r="E3" s="2">
        <v>0.1</v>
      </c>
      <c r="F3" s="2">
        <f>((F$12-F$2)*$A3) + F$2</f>
        <v>2.0324219693400001</v>
      </c>
      <c r="G3" s="2">
        <f t="shared" ref="G3:H11" si="1">((G$12-G$2)*$A3) + G$2</f>
        <v>1.58183036958</v>
      </c>
      <c r="H3" s="2">
        <f t="shared" si="1"/>
        <v>2.4901532247299998</v>
      </c>
      <c r="I3" s="2">
        <v>0.1</v>
      </c>
      <c r="J3" s="2">
        <f>((J$12-J$2)*$A3) + J$2</f>
        <v>10.664263999999999</v>
      </c>
      <c r="K3" s="2">
        <f t="shared" ref="K3:L11" si="2">((K$12-K$2)*$A3) + K$2</f>
        <v>8.2254691999999991</v>
      </c>
      <c r="L3" s="2">
        <f t="shared" si="2"/>
        <v>13.063723400000001</v>
      </c>
      <c r="N3">
        <f>MAX(J:J)</f>
        <v>15.690454000000001</v>
      </c>
    </row>
    <row r="4" spans="1:14" x14ac:dyDescent="0.2">
      <c r="A4" s="2">
        <v>0.2</v>
      </c>
      <c r="B4" s="2">
        <f t="shared" ref="B4:B11" si="3">((B$12-B$2)*$A4) + B$2</f>
        <v>3.7881306000000001</v>
      </c>
      <c r="C4" s="2">
        <f t="shared" si="0"/>
        <v>2.1102828000000002</v>
      </c>
      <c r="D4" s="2">
        <f t="shared" si="0"/>
        <v>5.4717441999999998</v>
      </c>
      <c r="E4" s="2">
        <v>0.2</v>
      </c>
      <c r="F4" s="2">
        <f t="shared" ref="F4:F11" si="4">((F$12-F$2)*$A4) + F$2</f>
        <v>2.0022767566800002</v>
      </c>
      <c r="G4" s="2">
        <f t="shared" si="1"/>
        <v>1.5691376484600001</v>
      </c>
      <c r="H4" s="2">
        <f t="shared" si="1"/>
        <v>2.4417622254599998</v>
      </c>
      <c r="I4" s="2">
        <v>0.2</v>
      </c>
      <c r="J4" s="2">
        <f t="shared" ref="J4:J11" si="5">((J$12-J$2)*$A4) + J$2</f>
        <v>10.839088</v>
      </c>
      <c r="K4" s="2">
        <f t="shared" si="2"/>
        <v>8.4964464</v>
      </c>
      <c r="L4" s="2">
        <f t="shared" si="2"/>
        <v>13.1467648</v>
      </c>
    </row>
    <row r="5" spans="1:14" x14ac:dyDescent="0.2">
      <c r="A5" s="2">
        <v>0.3</v>
      </c>
      <c r="B5" s="2">
        <f t="shared" si="3"/>
        <v>4.0245284000000003</v>
      </c>
      <c r="C5" s="2">
        <f t="shared" si="0"/>
        <v>2.4158702000000001</v>
      </c>
      <c r="D5" s="2">
        <f t="shared" si="0"/>
        <v>5.6418353000000003</v>
      </c>
      <c r="E5" s="2">
        <v>0.3</v>
      </c>
      <c r="F5" s="2">
        <f t="shared" si="4"/>
        <v>1.97213154402</v>
      </c>
      <c r="G5" s="2">
        <f t="shared" si="1"/>
        <v>1.5564449273400001</v>
      </c>
      <c r="H5" s="2">
        <f t="shared" si="1"/>
        <v>2.3933712261899998</v>
      </c>
      <c r="I5" s="2">
        <v>0.3</v>
      </c>
      <c r="J5" s="2">
        <f t="shared" si="5"/>
        <v>11.013911999999999</v>
      </c>
      <c r="K5" s="2">
        <f t="shared" si="2"/>
        <v>8.7674236000000008</v>
      </c>
      <c r="L5" s="2">
        <f t="shared" si="2"/>
        <v>13.229806199999999</v>
      </c>
    </row>
    <row r="6" spans="1:14" x14ac:dyDescent="0.2">
      <c r="A6" s="2">
        <v>0.4</v>
      </c>
      <c r="B6" s="2">
        <f t="shared" si="3"/>
        <v>4.2609262000000001</v>
      </c>
      <c r="C6" s="2">
        <f t="shared" si="0"/>
        <v>2.7214575999999999</v>
      </c>
      <c r="D6" s="2">
        <f t="shared" si="0"/>
        <v>5.8119263999999999</v>
      </c>
      <c r="E6" s="2">
        <v>0.4</v>
      </c>
      <c r="F6" s="2">
        <f t="shared" si="4"/>
        <v>1.9419863313599999</v>
      </c>
      <c r="G6" s="2">
        <f t="shared" si="1"/>
        <v>1.54375220622</v>
      </c>
      <c r="H6" s="2">
        <f t="shared" si="1"/>
        <v>2.3449802269199997</v>
      </c>
      <c r="I6" s="2">
        <v>0.4</v>
      </c>
      <c r="J6" s="2">
        <f t="shared" si="5"/>
        <v>11.188736</v>
      </c>
      <c r="K6" s="2">
        <f t="shared" si="2"/>
        <v>9.0384007999999998</v>
      </c>
      <c r="L6" s="2">
        <f t="shared" si="2"/>
        <v>13.3128476</v>
      </c>
    </row>
    <row r="7" spans="1:14" x14ac:dyDescent="0.2">
      <c r="A7" s="2">
        <v>0.5</v>
      </c>
      <c r="B7" s="2">
        <f t="shared" si="3"/>
        <v>4.4973239999999999</v>
      </c>
      <c r="C7" s="2">
        <f t="shared" si="0"/>
        <v>3.0270450000000002</v>
      </c>
      <c r="D7" s="2">
        <f t="shared" si="0"/>
        <v>5.9820174999999995</v>
      </c>
      <c r="E7" s="2">
        <v>0.5</v>
      </c>
      <c r="F7" s="2">
        <f t="shared" si="4"/>
        <v>1.9118411187</v>
      </c>
      <c r="G7" s="2">
        <f t="shared" si="1"/>
        <v>1.5310594851000001</v>
      </c>
      <c r="H7" s="2">
        <f t="shared" si="1"/>
        <v>2.2965892276500002</v>
      </c>
      <c r="I7" s="2">
        <v>0.5</v>
      </c>
      <c r="J7" s="2">
        <f t="shared" si="5"/>
        <v>11.36356</v>
      </c>
      <c r="K7" s="2">
        <f t="shared" si="2"/>
        <v>9.3093779999999988</v>
      </c>
      <c r="L7" s="2">
        <f t="shared" si="2"/>
        <v>13.395889</v>
      </c>
    </row>
    <row r="8" spans="1:14" x14ac:dyDescent="0.2">
      <c r="A8" s="2">
        <v>0.6</v>
      </c>
      <c r="B8" s="2">
        <f t="shared" si="3"/>
        <v>4.7337217999999996</v>
      </c>
      <c r="C8" s="2">
        <f t="shared" si="0"/>
        <v>3.3326323999999996</v>
      </c>
      <c r="D8" s="2">
        <f t="shared" si="0"/>
        <v>6.1521086</v>
      </c>
      <c r="E8" s="2">
        <v>0.6</v>
      </c>
      <c r="F8" s="2">
        <f t="shared" si="4"/>
        <v>1.88169590604</v>
      </c>
      <c r="G8" s="2">
        <f t="shared" si="1"/>
        <v>1.51836676398</v>
      </c>
      <c r="H8" s="2">
        <f t="shared" si="1"/>
        <v>2.2481982283800002</v>
      </c>
      <c r="I8" s="2">
        <v>0.6</v>
      </c>
      <c r="J8" s="2">
        <f t="shared" si="5"/>
        <v>11.538383999999999</v>
      </c>
      <c r="K8" s="2">
        <f t="shared" si="2"/>
        <v>9.5803551999999996</v>
      </c>
      <c r="L8" s="2">
        <f t="shared" si="2"/>
        <v>13.478930399999999</v>
      </c>
    </row>
    <row r="9" spans="1:14" x14ac:dyDescent="0.2">
      <c r="A9" s="2">
        <v>0.7</v>
      </c>
      <c r="B9" s="2">
        <f t="shared" si="3"/>
        <v>4.9701195999999994</v>
      </c>
      <c r="C9" s="2">
        <f t="shared" si="0"/>
        <v>3.6382197999999999</v>
      </c>
      <c r="D9" s="2">
        <f t="shared" si="0"/>
        <v>6.3221997000000005</v>
      </c>
      <c r="E9" s="2">
        <v>0.7</v>
      </c>
      <c r="F9" s="2">
        <f t="shared" si="4"/>
        <v>1.8515506933799999</v>
      </c>
      <c r="G9" s="2">
        <f t="shared" si="1"/>
        <v>1.50567404286</v>
      </c>
      <c r="H9" s="2">
        <f t="shared" si="1"/>
        <v>2.1998072291100002</v>
      </c>
      <c r="I9" s="2">
        <v>0.7</v>
      </c>
      <c r="J9" s="2">
        <f t="shared" si="5"/>
        <v>11.713208</v>
      </c>
      <c r="K9" s="2">
        <f t="shared" si="2"/>
        <v>9.8513323999999987</v>
      </c>
      <c r="L9" s="2">
        <f t="shared" si="2"/>
        <v>13.561971799999998</v>
      </c>
    </row>
    <row r="10" spans="1:14" x14ac:dyDescent="0.2">
      <c r="A10" s="2">
        <v>0.8</v>
      </c>
      <c r="B10" s="2">
        <f t="shared" si="3"/>
        <v>5.2065174000000001</v>
      </c>
      <c r="C10" s="2">
        <f t="shared" si="0"/>
        <v>3.9438072000000002</v>
      </c>
      <c r="D10" s="2">
        <f t="shared" si="0"/>
        <v>6.4922908000000001</v>
      </c>
      <c r="E10" s="2">
        <v>0.8</v>
      </c>
      <c r="F10" s="2">
        <f t="shared" si="4"/>
        <v>1.82140548072</v>
      </c>
      <c r="G10" s="2">
        <f t="shared" si="1"/>
        <v>1.4929813217399999</v>
      </c>
      <c r="H10" s="2">
        <f t="shared" si="1"/>
        <v>2.1514162298400001</v>
      </c>
      <c r="I10" s="2">
        <v>0.8</v>
      </c>
      <c r="J10" s="2">
        <f t="shared" si="5"/>
        <v>11.888031999999999</v>
      </c>
      <c r="K10" s="2">
        <f t="shared" si="2"/>
        <v>10.122309599999999</v>
      </c>
      <c r="L10" s="2">
        <f t="shared" si="2"/>
        <v>13.645013199999999</v>
      </c>
    </row>
    <row r="11" spans="1:14" x14ac:dyDescent="0.2">
      <c r="A11" s="2">
        <v>0.9</v>
      </c>
      <c r="B11" s="2">
        <f t="shared" si="3"/>
        <v>5.4429151999999998</v>
      </c>
      <c r="C11" s="2">
        <f t="shared" si="0"/>
        <v>4.2493946000000005</v>
      </c>
      <c r="D11" s="2">
        <f t="shared" si="0"/>
        <v>6.6623818999999997</v>
      </c>
      <c r="E11" s="2">
        <v>0.9</v>
      </c>
      <c r="F11" s="2">
        <f t="shared" si="4"/>
        <v>1.7912602680599998</v>
      </c>
      <c r="G11" s="2">
        <f t="shared" si="1"/>
        <v>1.48028860062</v>
      </c>
      <c r="H11" s="2">
        <f t="shared" si="1"/>
        <v>2.1030252305700001</v>
      </c>
      <c r="I11" s="2">
        <v>0.9</v>
      </c>
      <c r="J11" s="2">
        <f t="shared" si="5"/>
        <v>12.062856</v>
      </c>
      <c r="K11" s="2">
        <f t="shared" si="2"/>
        <v>10.393286799999998</v>
      </c>
      <c r="L11" s="2">
        <f t="shared" si="2"/>
        <v>13.7280546</v>
      </c>
    </row>
    <row r="12" spans="1:14" x14ac:dyDescent="0.2">
      <c r="A12" s="2">
        <v>1</v>
      </c>
      <c r="B12" s="2">
        <v>5.6793129999999996</v>
      </c>
      <c r="C12" s="2">
        <v>4.5549819999999999</v>
      </c>
      <c r="D12" s="2">
        <v>6.8324730000000002</v>
      </c>
      <c r="E12" s="2">
        <v>1</v>
      </c>
      <c r="F12" s="2">
        <v>1.7611150553999999</v>
      </c>
      <c r="G12" s="2">
        <v>1.4675958794999999</v>
      </c>
      <c r="H12" s="2">
        <v>2.0546342313000001</v>
      </c>
      <c r="I12" s="2">
        <v>1</v>
      </c>
      <c r="J12" s="2">
        <v>12.237679999999999</v>
      </c>
      <c r="K12" s="2">
        <v>10.664263999999999</v>
      </c>
      <c r="L12" s="2">
        <v>13.811095999999999</v>
      </c>
    </row>
    <row r="13" spans="1:14" x14ac:dyDescent="0.2">
      <c r="A13" s="2">
        <v>2</v>
      </c>
      <c r="B13" s="2">
        <v>8.8216739999999998</v>
      </c>
      <c r="C13" s="2">
        <v>6.8613020000000002</v>
      </c>
      <c r="D13" s="2">
        <v>10.753216999999999</v>
      </c>
      <c r="E13" s="2">
        <v>2</v>
      </c>
      <c r="F13" s="2">
        <v>1.2930709641</v>
      </c>
      <c r="G13" s="2">
        <v>0.82502687279999998</v>
      </c>
      <c r="H13" s="2">
        <v>1.7611150553999999</v>
      </c>
      <c r="I13" s="2">
        <v>2</v>
      </c>
      <c r="J13" s="2">
        <v>15.690454000000001</v>
      </c>
      <c r="K13" s="2">
        <v>13.068094</v>
      </c>
      <c r="L13" s="2">
        <v>18.312813999999999</v>
      </c>
    </row>
    <row r="14" spans="1:14" x14ac:dyDescent="0.2">
      <c r="A14" s="2">
        <v>3</v>
      </c>
      <c r="B14" s="2">
        <v>8.3892389999999999</v>
      </c>
      <c r="C14" s="2">
        <v>5.0450749999999998</v>
      </c>
      <c r="D14" s="2">
        <v>11.762231999999999</v>
      </c>
      <c r="E14" s="2">
        <v>3</v>
      </c>
      <c r="F14" s="2">
        <v>1.507260633</v>
      </c>
      <c r="G14" s="2">
        <v>0.70603261230000003</v>
      </c>
      <c r="H14" s="2">
        <v>2.3084886537</v>
      </c>
      <c r="I14" s="2">
        <v>3</v>
      </c>
      <c r="J14" s="2">
        <v>14.947452</v>
      </c>
      <c r="K14" s="2">
        <v>10.533146</v>
      </c>
      <c r="L14" s="2">
        <v>19.405463999999998</v>
      </c>
    </row>
    <row r="15" spans="1:14" x14ac:dyDescent="0.2">
      <c r="A15" s="2">
        <v>4</v>
      </c>
      <c r="B15" s="2">
        <v>8.8216739999999998</v>
      </c>
      <c r="C15" s="2">
        <v>5.3333649999999997</v>
      </c>
      <c r="D15" s="2">
        <v>12.309983000000001</v>
      </c>
      <c r="E15" s="2">
        <v>4</v>
      </c>
      <c r="F15" s="2">
        <v>0.91228933050000005</v>
      </c>
      <c r="G15" s="2">
        <v>3.17318028E-2</v>
      </c>
      <c r="H15" s="2">
        <v>1.7849139075</v>
      </c>
      <c r="I15" s="2">
        <v>4</v>
      </c>
      <c r="J15" s="2">
        <v>15.253394</v>
      </c>
      <c r="K15" s="2">
        <v>10.402028</v>
      </c>
      <c r="L15" s="2">
        <v>20.061053999999999</v>
      </c>
    </row>
    <row r="16" spans="1:14" x14ac:dyDescent="0.2">
      <c r="A16" s="2">
        <v>5</v>
      </c>
      <c r="B16" s="2">
        <v>8.8216739999999998</v>
      </c>
      <c r="C16" s="2">
        <v>5.3333649999999997</v>
      </c>
      <c r="D16" s="2">
        <v>12.309983000000001</v>
      </c>
      <c r="E16" s="2">
        <v>5</v>
      </c>
      <c r="F16" s="2">
        <v>0.91228933050000005</v>
      </c>
      <c r="G16" s="2">
        <v>3.17318028E-2</v>
      </c>
      <c r="H16" s="2">
        <v>1.7849139075</v>
      </c>
      <c r="I16" s="2">
        <v>5</v>
      </c>
      <c r="J16" s="2">
        <v>15.253394</v>
      </c>
      <c r="K16" s="2">
        <v>10.402028</v>
      </c>
      <c r="L16" s="2">
        <v>20.061053999999999</v>
      </c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0D04-1C2A-704D-BFB9-BDAA8755E20B}">
  <sheetPr>
    <tabColor theme="6"/>
  </sheetPr>
  <dimension ref="A1:Q32"/>
  <sheetViews>
    <sheetView workbookViewId="0">
      <selection activeCell="B39" sqref="B39"/>
    </sheetView>
  </sheetViews>
  <sheetFormatPr baseColWidth="10" defaultColWidth="11" defaultRowHeight="16" x14ac:dyDescent="0.2"/>
  <cols>
    <col min="1" max="1" width="29.6640625" bestFit="1" customWidth="1"/>
    <col min="2" max="2" width="13.6640625" bestFit="1" customWidth="1"/>
  </cols>
  <sheetData>
    <row r="1" spans="1:17" ht="17" thickBot="1" x14ac:dyDescent="0.25">
      <c r="A1" s="44" t="s">
        <v>11</v>
      </c>
      <c r="B1" s="58" t="s">
        <v>12</v>
      </c>
      <c r="C1" s="59" t="s">
        <v>13</v>
      </c>
      <c r="D1" s="59" t="s">
        <v>14</v>
      </c>
      <c r="E1" s="60" t="s">
        <v>15</v>
      </c>
      <c r="F1" s="66" t="s">
        <v>16</v>
      </c>
      <c r="G1" s="67" t="s">
        <v>1</v>
      </c>
      <c r="P1" s="48" t="s">
        <v>6</v>
      </c>
      <c r="Q1" s="48">
        <v>1</v>
      </c>
    </row>
    <row r="2" spans="1:17" x14ac:dyDescent="0.2">
      <c r="A2" s="45" t="s">
        <v>17</v>
      </c>
      <c r="B2" s="55">
        <v>0</v>
      </c>
      <c r="C2" s="63">
        <v>-3.0435226571917949E-4</v>
      </c>
      <c r="D2" s="62">
        <v>18.84776939613149</v>
      </c>
      <c r="E2" s="57">
        <v>0.35195128871846959</v>
      </c>
      <c r="F2" s="68">
        <f>INDEX(RESULTATS!$C$2:$C$10,MATCH('enquêtes TIM'!A2,RESULTATS!$B$2:$B$10,0))</f>
        <v>25676</v>
      </c>
      <c r="G2" s="69">
        <f>(B2*(F2^2)) + (C2*F2) + D2</f>
        <v>11.033220621525837</v>
      </c>
      <c r="P2" s="48" t="s">
        <v>7</v>
      </c>
      <c r="Q2" s="48">
        <v>2</v>
      </c>
    </row>
    <row r="3" spans="1:17" x14ac:dyDescent="0.2">
      <c r="A3" s="46" t="s">
        <v>18</v>
      </c>
      <c r="B3" s="50">
        <v>0</v>
      </c>
      <c r="C3" s="4">
        <v>-9.6662183951849593E-5</v>
      </c>
      <c r="D3" s="4">
        <v>14.6253910005554</v>
      </c>
      <c r="E3" s="51">
        <v>0.48449093002591037</v>
      </c>
      <c r="F3" s="70">
        <f>INDEX(RESULTATS!$C$2:$C$10,MATCH('enquêtes TIM'!A3,RESULTATS!$B$2:$B$10,0))</f>
        <v>13868</v>
      </c>
      <c r="G3" s="71">
        <f t="shared" ref="G3:G13" si="0">(B3*(F3^2)) + (C3*F3) + D3</f>
        <v>13.28487983351115</v>
      </c>
      <c r="P3" s="48" t="s">
        <v>8</v>
      </c>
      <c r="Q3" s="48">
        <v>3</v>
      </c>
    </row>
    <row r="4" spans="1:17" x14ac:dyDescent="0.2">
      <c r="A4" s="46" t="s">
        <v>19</v>
      </c>
      <c r="B4" s="50">
        <v>0</v>
      </c>
      <c r="C4" s="4">
        <v>-29.211439869954567</v>
      </c>
      <c r="D4" s="4">
        <v>14.167799969708584</v>
      </c>
      <c r="E4" s="51">
        <v>0.28425380061956018</v>
      </c>
      <c r="F4" s="70">
        <f>INDEX(RESULTATS!$C$2:$C$10,MATCH('enquêtes TIM'!A4,RESULTATS!$B$2:$B$10,0))</f>
        <v>0.08</v>
      </c>
      <c r="G4" s="71">
        <f t="shared" si="0"/>
        <v>11.830884780112218</v>
      </c>
      <c r="P4" s="48" t="s">
        <v>9</v>
      </c>
      <c r="Q4" s="48">
        <v>4</v>
      </c>
    </row>
    <row r="5" spans="1:17" x14ac:dyDescent="0.2">
      <c r="A5" s="46" t="s">
        <v>20</v>
      </c>
      <c r="B5" s="50">
        <v>0</v>
      </c>
      <c r="C5" s="4">
        <v>-3.4336077118431382E-2</v>
      </c>
      <c r="D5" s="4">
        <v>13.211855304317812</v>
      </c>
      <c r="E5" s="51">
        <v>0.32344373193671422</v>
      </c>
      <c r="F5" s="70">
        <f>INDEX(RESULTATS!$C$2:$C$10,MATCH('enquêtes TIM'!A5,RESULTATS!$B$2:$B$10,0))</f>
        <v>43</v>
      </c>
      <c r="G5" s="71">
        <f t="shared" si="0"/>
        <v>11.735403988225261</v>
      </c>
    </row>
    <row r="6" spans="1:17" x14ac:dyDescent="0.2">
      <c r="A6" s="46" t="s">
        <v>21</v>
      </c>
      <c r="B6" s="50">
        <v>0</v>
      </c>
      <c r="C6" s="4">
        <v>-14.437142764525108</v>
      </c>
      <c r="D6" s="4">
        <v>19.555830652005607</v>
      </c>
      <c r="E6" s="51">
        <v>0.13815134023069417</v>
      </c>
      <c r="F6" s="70" t="e">
        <f>INDEX(RESULTATS!$C$2:$C$10,MATCH('enquêtes TIM'!A6,RESULTATS!$B$2:$B$10,0))</f>
        <v>#N/A</v>
      </c>
      <c r="G6" s="71" t="e">
        <f t="shared" si="0"/>
        <v>#N/A</v>
      </c>
    </row>
    <row r="7" spans="1:17" x14ac:dyDescent="0.2">
      <c r="A7" s="46" t="s">
        <v>22</v>
      </c>
      <c r="B7" s="50">
        <v>0</v>
      </c>
      <c r="C7" s="4">
        <v>-1.8272946071565703E-2</v>
      </c>
      <c r="D7" s="4">
        <v>12.720666415534177</v>
      </c>
      <c r="E7" s="51">
        <v>0.48107869988339708</v>
      </c>
      <c r="F7" s="70" t="e">
        <f>INDEX(RESULTATS!$C$2:$C$10,MATCH('enquêtes TIM'!A7,RESULTATS!$B$2:$B$10,0))</f>
        <v>#N/A</v>
      </c>
      <c r="G7" s="71" t="e">
        <f t="shared" si="0"/>
        <v>#N/A</v>
      </c>
    </row>
    <row r="8" spans="1:17" x14ac:dyDescent="0.2">
      <c r="A8" s="46" t="s">
        <v>23</v>
      </c>
      <c r="B8" s="50">
        <v>0</v>
      </c>
      <c r="C8" s="4">
        <v>-3.6875819518344868E-4</v>
      </c>
      <c r="D8" s="4">
        <v>13.730319460741146</v>
      </c>
      <c r="E8" s="51">
        <v>0.18350408051444803</v>
      </c>
      <c r="F8" s="70" t="e">
        <f>INDEX(RESULTATS!$C$2:$C$10,MATCH('enquêtes TIM'!A8,RESULTATS!$B$2:$B$10,0))</f>
        <v>#N/A</v>
      </c>
      <c r="G8" s="71" t="e">
        <f t="shared" si="0"/>
        <v>#N/A</v>
      </c>
    </row>
    <row r="9" spans="1:17" x14ac:dyDescent="0.2">
      <c r="A9" s="46" t="s">
        <v>24</v>
      </c>
      <c r="B9" s="50">
        <v>0</v>
      </c>
      <c r="C9" s="4">
        <v>-13.98339093671442</v>
      </c>
      <c r="D9" s="4">
        <v>17.116234917572175</v>
      </c>
      <c r="E9" s="51">
        <v>0.3882753356108421</v>
      </c>
      <c r="F9" s="70">
        <f>INDEX(RESULTATS!$C$2:$C$10,MATCH('enquêtes TIM'!A9,RESULTATS!$B$2:$B$10,0))</f>
        <v>0.20499999999999999</v>
      </c>
      <c r="G9" s="71">
        <f t="shared" si="0"/>
        <v>14.24963977554572</v>
      </c>
    </row>
    <row r="10" spans="1:17" x14ac:dyDescent="0.2">
      <c r="A10" s="46" t="s">
        <v>25</v>
      </c>
      <c r="B10" s="50">
        <v>0</v>
      </c>
      <c r="C10" s="4">
        <v>-0.321740196081442</v>
      </c>
      <c r="D10" s="4">
        <v>17.195164951929023</v>
      </c>
      <c r="E10" s="51">
        <v>0.40428276384083323</v>
      </c>
      <c r="F10" s="70">
        <f>INDEX(RESULTATS!$C$2:$C$10,MATCH('enquêtes TIM'!A10,RESULTATS!$B$2:$B$10,0))</f>
        <v>17</v>
      </c>
      <c r="G10" s="71">
        <f t="shared" si="0"/>
        <v>11.72558161854451</v>
      </c>
    </row>
    <row r="11" spans="1:17" x14ac:dyDescent="0.2">
      <c r="A11" s="46" t="s">
        <v>26</v>
      </c>
      <c r="B11" s="50">
        <v>0</v>
      </c>
      <c r="C11" s="4">
        <v>-108.55290674602448</v>
      </c>
      <c r="D11" s="4">
        <v>13.118684877248839</v>
      </c>
      <c r="E11" s="51">
        <v>0.33892295722357968</v>
      </c>
      <c r="F11" s="70">
        <f>INDEX(RESULTATS!$C$2:$C$10,MATCH('enquêtes TIM'!A11,RESULTATS!$B$2:$B$10,0))</f>
        <v>1.4999999999999999E-2</v>
      </c>
      <c r="G11" s="71">
        <f t="shared" si="0"/>
        <v>11.490391276058471</v>
      </c>
    </row>
    <row r="12" spans="1:17" x14ac:dyDescent="0.2">
      <c r="A12" s="46" t="s">
        <v>27</v>
      </c>
      <c r="B12" s="50">
        <v>0</v>
      </c>
      <c r="C12" s="49">
        <v>2.5213966472653868</v>
      </c>
      <c r="D12" s="4">
        <v>3.1201939625574475</v>
      </c>
      <c r="E12" s="51">
        <v>0.28650918809286691</v>
      </c>
      <c r="F12" s="70">
        <f>INDEX(RESULTATS!$C$2:$C$10,MATCH('enquêtes TIM'!A12,RESULTATS!$B$2:$B$10,0))</f>
        <v>4</v>
      </c>
      <c r="G12" s="71">
        <f t="shared" si="0"/>
        <v>13.205780551618995</v>
      </c>
    </row>
    <row r="13" spans="1:17" ht="17" thickBot="1" x14ac:dyDescent="0.25">
      <c r="A13" s="47" t="s">
        <v>28</v>
      </c>
      <c r="B13" s="52">
        <v>0</v>
      </c>
      <c r="C13" s="53">
        <v>0.66581650079647947</v>
      </c>
      <c r="D13" s="53">
        <v>8.0070694615799241</v>
      </c>
      <c r="E13" s="54">
        <v>0.12757888751663712</v>
      </c>
      <c r="F13" s="72">
        <f>INDEX(Q1:Q4,MATCH(INDEX(RESULTATS!$C$2:$C$10,MATCH('enquêtes TIM'!A13,RESULTATS!$B$2:$B$10,0)),P1:P4,0))</f>
        <v>2</v>
      </c>
      <c r="G13" s="73">
        <f t="shared" si="0"/>
        <v>9.3387024631728828</v>
      </c>
    </row>
    <row r="30" spans="1:5" x14ac:dyDescent="0.2">
      <c r="A30" s="3" t="s">
        <v>59</v>
      </c>
      <c r="B30" s="43">
        <v>19370</v>
      </c>
      <c r="C30" s="143">
        <f>(B30*$C$2) + $D$2</f>
        <v>12.952466009150983</v>
      </c>
      <c r="E30" s="144"/>
    </row>
    <row r="31" spans="1:5" x14ac:dyDescent="0.2">
      <c r="B31" s="43">
        <f>F2</f>
        <v>25676</v>
      </c>
      <c r="C31" s="143">
        <f>(B31*$C$2) + $D$2</f>
        <v>11.033220621525837</v>
      </c>
    </row>
    <row r="32" spans="1:5" x14ac:dyDescent="0.2">
      <c r="A32" s="3" t="s">
        <v>60</v>
      </c>
      <c r="B32" s="43">
        <v>43803</v>
      </c>
      <c r="C32" s="143">
        <f t="shared" ref="C32" si="1">(B32*$C$2) + $D$2</f>
        <v>5.5162271008342714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AF5B-2C3C-0E48-8F97-E4A2A6323833}">
  <sheetPr>
    <tabColor theme="6"/>
  </sheetPr>
  <dimension ref="A1:Q13"/>
  <sheetViews>
    <sheetView workbookViewId="0">
      <selection activeCell="G2" sqref="G2:G13"/>
    </sheetView>
  </sheetViews>
  <sheetFormatPr baseColWidth="10" defaultColWidth="11" defaultRowHeight="16" x14ac:dyDescent="0.2"/>
  <cols>
    <col min="1" max="1" width="29.6640625" bestFit="1" customWidth="1"/>
    <col min="2" max="2" width="12.83203125" bestFit="1" customWidth="1"/>
    <col min="3" max="3" width="12.33203125" bestFit="1" customWidth="1"/>
  </cols>
  <sheetData>
    <row r="1" spans="1:17" ht="17" thickBot="1" x14ac:dyDescent="0.25">
      <c r="A1" s="44" t="s">
        <v>11</v>
      </c>
      <c r="B1" s="58" t="s">
        <v>12</v>
      </c>
      <c r="C1" s="59" t="s">
        <v>13</v>
      </c>
      <c r="D1" s="59" t="s">
        <v>14</v>
      </c>
      <c r="E1" s="60" t="s">
        <v>15</v>
      </c>
      <c r="F1" s="66" t="s">
        <v>16</v>
      </c>
      <c r="G1" s="67" t="s">
        <v>1</v>
      </c>
      <c r="P1" s="48" t="s">
        <v>6</v>
      </c>
      <c r="Q1" s="48">
        <v>1</v>
      </c>
    </row>
    <row r="2" spans="1:17" x14ac:dyDescent="0.2">
      <c r="A2" s="45" t="s">
        <v>17</v>
      </c>
      <c r="B2" s="55">
        <v>0</v>
      </c>
      <c r="C2" s="63">
        <v>1.1646185452064436E-5</v>
      </c>
      <c r="D2" s="62">
        <v>1.7369338365096094</v>
      </c>
      <c r="E2" s="57">
        <v>7.8173262003045224E-2</v>
      </c>
      <c r="F2" s="68">
        <f>INDEX(RESULTATS!$C$2:$C$10,MATCH('enquêtes TIM'!A2,RESULTATS!$B$2:$B$10,0))</f>
        <v>25676</v>
      </c>
      <c r="G2" s="69">
        <f>(B2*(F2^2)) + (C2*F2) + D2</f>
        <v>2.0359612941768157</v>
      </c>
      <c r="P2" s="48" t="s">
        <v>7</v>
      </c>
      <c r="Q2" s="48">
        <v>2</v>
      </c>
    </row>
    <row r="3" spans="1:17" x14ac:dyDescent="0.2">
      <c r="A3" s="46" t="s">
        <v>18</v>
      </c>
      <c r="B3" s="50">
        <v>0</v>
      </c>
      <c r="C3" s="4">
        <v>5.1116247178925704E-6</v>
      </c>
      <c r="D3" s="4">
        <v>1.8198455198860395</v>
      </c>
      <c r="E3" s="51">
        <v>0.13181108797267096</v>
      </c>
      <c r="F3" s="70">
        <f>INDEX(RESULTATS!$C$2:$C$10,MATCH('enquêtes TIM'!A3,RESULTATS!$B$2:$B$10,0))</f>
        <v>13868</v>
      </c>
      <c r="G3" s="71">
        <f t="shared" ref="G3:G13" si="0">(B3*(F3^2)) + (C3*F3) + D3</f>
        <v>1.8907335314737737</v>
      </c>
      <c r="P3" s="48" t="s">
        <v>8</v>
      </c>
      <c r="Q3" s="48">
        <v>3</v>
      </c>
    </row>
    <row r="4" spans="1:17" x14ac:dyDescent="0.2">
      <c r="A4" s="46" t="s">
        <v>19</v>
      </c>
      <c r="B4" s="50">
        <v>0</v>
      </c>
      <c r="C4" s="4">
        <v>1.2569656888327121</v>
      </c>
      <c r="D4" s="4">
        <v>1.8925540265439338</v>
      </c>
      <c r="E4" s="51">
        <v>7.5656656595626912E-2</v>
      </c>
      <c r="F4" s="70">
        <f>INDEX(RESULTATS!$C$2:$C$10,MATCH('enquêtes TIM'!A4,RESULTATS!$B$2:$B$10,0))</f>
        <v>0.08</v>
      </c>
      <c r="G4" s="71">
        <f t="shared" si="0"/>
        <v>1.9931112816505507</v>
      </c>
      <c r="P4" s="48" t="s">
        <v>9</v>
      </c>
      <c r="Q4" s="48">
        <v>4</v>
      </c>
    </row>
    <row r="5" spans="1:17" x14ac:dyDescent="0.2">
      <c r="A5" s="46" t="s">
        <v>20</v>
      </c>
      <c r="B5" s="50">
        <v>0</v>
      </c>
      <c r="C5" s="4">
        <v>3.4364759861062275E-4</v>
      </c>
      <c r="D5" s="4">
        <v>2.0647266844791634</v>
      </c>
      <c r="E5" s="51">
        <v>5.2515953231355446E-2</v>
      </c>
      <c r="F5" s="70">
        <f>INDEX(RESULTATS!$C$2:$C$10,MATCH('enquêtes TIM'!A5,RESULTATS!$B$2:$B$10,0))</f>
        <v>43</v>
      </c>
      <c r="G5" s="71">
        <f t="shared" si="0"/>
        <v>2.0795035312194203</v>
      </c>
    </row>
    <row r="6" spans="1:17" x14ac:dyDescent="0.2">
      <c r="A6" s="46" t="s">
        <v>21</v>
      </c>
      <c r="B6" s="50">
        <v>0</v>
      </c>
      <c r="C6" s="4">
        <v>1.815222143741243</v>
      </c>
      <c r="D6" s="4">
        <v>0.80785528284627461</v>
      </c>
      <c r="E6" s="51">
        <v>8.3044597173813628E-2</v>
      </c>
      <c r="F6" s="70" t="e">
        <f>INDEX(RESULTATS!$C$2:$C$10,MATCH('enquêtes TIM'!A6,RESULTATS!$B$2:$B$10,0))</f>
        <v>#N/A</v>
      </c>
      <c r="G6" s="71" t="e">
        <f t="shared" si="0"/>
        <v>#N/A</v>
      </c>
    </row>
    <row r="7" spans="1:17" x14ac:dyDescent="0.2">
      <c r="A7" s="46" t="s">
        <v>22</v>
      </c>
      <c r="B7" s="50">
        <v>0</v>
      </c>
      <c r="C7" s="4">
        <v>3.4209797201803114E-4</v>
      </c>
      <c r="D7" s="4">
        <v>2.0393461714145888</v>
      </c>
      <c r="E7" s="51">
        <v>6.0922021175409409E-2</v>
      </c>
      <c r="F7" s="70" t="e">
        <f>INDEX(RESULTATS!$C$2:$C$10,MATCH('enquêtes TIM'!A7,RESULTATS!$B$2:$B$10,0))</f>
        <v>#N/A</v>
      </c>
      <c r="G7" s="71" t="e">
        <f t="shared" si="0"/>
        <v>#N/A</v>
      </c>
    </row>
    <row r="8" spans="1:17" x14ac:dyDescent="0.2">
      <c r="A8" s="46" t="s">
        <v>23</v>
      </c>
      <c r="B8" s="50">
        <v>0</v>
      </c>
      <c r="C8" s="4">
        <v>-1.4392011863911509E-5</v>
      </c>
      <c r="D8" s="4">
        <v>2.2795521927256401</v>
      </c>
      <c r="E8" s="51">
        <v>5.9337495180878747E-2</v>
      </c>
      <c r="F8" s="70" t="e">
        <f>INDEX(RESULTATS!$C$2:$C$10,MATCH('enquêtes TIM'!A8,RESULTATS!$B$2:$B$10,0))</f>
        <v>#N/A</v>
      </c>
      <c r="G8" s="71" t="e">
        <f t="shared" si="0"/>
        <v>#N/A</v>
      </c>
    </row>
    <row r="9" spans="1:17" x14ac:dyDescent="0.2">
      <c r="A9" s="46" t="s">
        <v>24</v>
      </c>
      <c r="B9" s="50">
        <v>0</v>
      </c>
      <c r="C9" s="4">
        <v>1.46533494</v>
      </c>
      <c r="D9" s="4">
        <v>1.2794589583146179</v>
      </c>
      <c r="E9" s="51">
        <v>0.28662294280144496</v>
      </c>
      <c r="F9" s="70">
        <f>INDEX(RESULTATS!$C$2:$C$10,MATCH('enquêtes TIM'!A9,RESULTATS!$B$2:$B$10,0))</f>
        <v>0.20499999999999999</v>
      </c>
      <c r="G9" s="71">
        <f t="shared" si="0"/>
        <v>1.5798526210146178</v>
      </c>
    </row>
    <row r="10" spans="1:17" x14ac:dyDescent="0.2">
      <c r="A10" s="46" t="s">
        <v>25</v>
      </c>
      <c r="B10" s="50">
        <v>0</v>
      </c>
      <c r="C10" s="4">
        <v>1.6265116264978233E-2</v>
      </c>
      <c r="D10" s="4">
        <v>1.7024617978269863</v>
      </c>
      <c r="E10" s="51">
        <v>0.10891563482096711</v>
      </c>
      <c r="F10" s="70">
        <f>INDEX(RESULTATS!$C$2:$C$10,MATCH('enquêtes TIM'!A10,RESULTATS!$B$2:$B$10,0))</f>
        <v>17</v>
      </c>
      <c r="G10" s="71">
        <f t="shared" si="0"/>
        <v>1.9789687743316162</v>
      </c>
    </row>
    <row r="11" spans="1:17" x14ac:dyDescent="0.2">
      <c r="A11" s="46" t="s">
        <v>26</v>
      </c>
      <c r="B11" s="50">
        <v>0</v>
      </c>
      <c r="C11" s="4">
        <v>4.6972022611378064</v>
      </c>
      <c r="D11" s="4">
        <v>1.9353432469747731</v>
      </c>
      <c r="E11" s="51">
        <v>8.3888367317648774E-2</v>
      </c>
      <c r="F11" s="70">
        <f>INDEX(RESULTATS!$C$2:$C$10,MATCH('enquêtes TIM'!A11,RESULTATS!$B$2:$B$10,0))</f>
        <v>1.4999999999999999E-2</v>
      </c>
      <c r="G11" s="71">
        <f t="shared" si="0"/>
        <v>2.0058012808918404</v>
      </c>
    </row>
    <row r="12" spans="1:17" x14ac:dyDescent="0.2">
      <c r="A12" s="46" t="s">
        <v>27</v>
      </c>
      <c r="B12" s="50">
        <v>0</v>
      </c>
      <c r="C12" s="49">
        <v>-0.21983228558772813</v>
      </c>
      <c r="D12" s="4">
        <v>2.6383209362316453</v>
      </c>
      <c r="E12" s="51">
        <v>0.15396205291468759</v>
      </c>
      <c r="F12" s="70">
        <f>INDEX(RESULTATS!$C$2:$C$10,MATCH('enquêtes TIM'!A12,RESULTATS!$B$2:$B$10,0))</f>
        <v>4</v>
      </c>
      <c r="G12" s="71">
        <f t="shared" si="0"/>
        <v>1.7589917938807327</v>
      </c>
    </row>
    <row r="13" spans="1:17" ht="17" thickBot="1" x14ac:dyDescent="0.25">
      <c r="A13" s="47" t="s">
        <v>28</v>
      </c>
      <c r="B13" s="52">
        <v>0</v>
      </c>
      <c r="C13" s="53">
        <v>9.8884122326659787E-2</v>
      </c>
      <c r="D13" s="53">
        <v>1.9208005869119371</v>
      </c>
      <c r="E13" s="54">
        <v>7.7642772838517934E-2</v>
      </c>
      <c r="F13" s="72">
        <f>INDEX(Q1:Q4,MATCH(INDEX(RESULTATS!$C$2:$C$10,MATCH('enquêtes TIM'!A13,RESULTATS!$B$2:$B$10,0)),P1:P4,0))</f>
        <v>2</v>
      </c>
      <c r="G13" s="73">
        <f t="shared" si="0"/>
        <v>2.1185688315652569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3C1-CA84-5F4C-BF48-DA2C0A57A9A1}">
  <sheetPr>
    <tabColor theme="6"/>
  </sheetPr>
  <dimension ref="A1:Q13"/>
  <sheetViews>
    <sheetView workbookViewId="0">
      <selection activeCell="G2" sqref="G2:G13"/>
    </sheetView>
  </sheetViews>
  <sheetFormatPr baseColWidth="10" defaultColWidth="11" defaultRowHeight="16" x14ac:dyDescent="0.2"/>
  <cols>
    <col min="1" max="1" width="29.6640625" bestFit="1" customWidth="1"/>
    <col min="2" max="2" width="12.83203125" bestFit="1" customWidth="1"/>
  </cols>
  <sheetData>
    <row r="1" spans="1:17" ht="17" thickBot="1" x14ac:dyDescent="0.25">
      <c r="A1" s="44" t="s">
        <v>11</v>
      </c>
      <c r="B1" s="58" t="s">
        <v>12</v>
      </c>
      <c r="C1" s="59" t="s">
        <v>13</v>
      </c>
      <c r="D1" s="59" t="s">
        <v>14</v>
      </c>
      <c r="E1" s="60" t="s">
        <v>15</v>
      </c>
      <c r="F1" s="66" t="s">
        <v>16</v>
      </c>
      <c r="G1" s="67" t="s">
        <v>1</v>
      </c>
      <c r="P1" s="48" t="s">
        <v>6</v>
      </c>
      <c r="Q1" s="48">
        <v>1</v>
      </c>
    </row>
    <row r="2" spans="1:17" x14ac:dyDescent="0.2">
      <c r="A2" s="45" t="s">
        <v>17</v>
      </c>
      <c r="B2" s="55">
        <v>0</v>
      </c>
      <c r="C2" s="63">
        <v>-2.4579999999999998E-5</v>
      </c>
      <c r="D2" s="62">
        <v>5.2632624348720416</v>
      </c>
      <c r="E2" s="57">
        <v>0.56277658753296589</v>
      </c>
      <c r="F2" s="68">
        <f>INDEX(RESULTATS!$C$2:$C$10,MATCH('enquêtes TIM'!A2,RESULTATS!$B$2:$B$10,0))</f>
        <v>25676</v>
      </c>
      <c r="G2" s="69">
        <f>(B2*(F2^2)) + (C2*F2) + D2</f>
        <v>4.6321463548720416</v>
      </c>
      <c r="P2" s="48" t="s">
        <v>7</v>
      </c>
      <c r="Q2" s="48">
        <v>2</v>
      </c>
    </row>
    <row r="3" spans="1:17" x14ac:dyDescent="0.2">
      <c r="A3" s="46" t="s">
        <v>18</v>
      </c>
      <c r="B3" s="50">
        <v>0</v>
      </c>
      <c r="C3" s="4">
        <v>-1.9732337436485491E-6</v>
      </c>
      <c r="D3" s="4">
        <v>4.5976160842953089</v>
      </c>
      <c r="E3" s="51">
        <v>0.50023994504586233</v>
      </c>
      <c r="F3" s="70">
        <f>INDEX(RESULTATS!$C$2:$C$10,MATCH('enquêtes TIM'!A3,RESULTATS!$B$2:$B$10,0))</f>
        <v>13868</v>
      </c>
      <c r="G3" s="71">
        <f t="shared" ref="G3:G13" si="0">(B3*(F3^2)) + (C3*F3) + D3</f>
        <v>4.5702512787383904</v>
      </c>
      <c r="P3" s="48" t="s">
        <v>8</v>
      </c>
      <c r="Q3" s="48">
        <v>3</v>
      </c>
    </row>
    <row r="4" spans="1:17" x14ac:dyDescent="0.2">
      <c r="A4" s="46" t="s">
        <v>19</v>
      </c>
      <c r="B4" s="50">
        <v>0</v>
      </c>
      <c r="C4" s="4">
        <v>-3.2698799885435887</v>
      </c>
      <c r="D4" s="4">
        <v>5.0389618176382474</v>
      </c>
      <c r="E4" s="51">
        <v>0.58913631634972674</v>
      </c>
      <c r="F4" s="70">
        <f>INDEX(RESULTATS!$C$2:$C$10,MATCH('enquêtes TIM'!A4,RESULTATS!$B$2:$B$10,0))</f>
        <v>0.08</v>
      </c>
      <c r="G4" s="71">
        <f t="shared" si="0"/>
        <v>4.7773714185547602</v>
      </c>
      <c r="P4" s="48" t="s">
        <v>9</v>
      </c>
      <c r="Q4" s="48">
        <v>4</v>
      </c>
    </row>
    <row r="5" spans="1:17" x14ac:dyDescent="0.2">
      <c r="A5" s="46" t="s">
        <v>20</v>
      </c>
      <c r="B5" s="50">
        <v>0</v>
      </c>
      <c r="C5" s="4">
        <v>-4.1188931415124929E-3</v>
      </c>
      <c r="D5" s="4">
        <v>4.9637798412099858</v>
      </c>
      <c r="E5" s="51">
        <v>0.62837306839497142</v>
      </c>
      <c r="F5" s="70">
        <f>INDEX(RESULTATS!$C$2:$C$10,MATCH('enquêtes TIM'!A5,RESULTATS!$B$2:$B$10,0))</f>
        <v>43</v>
      </c>
      <c r="G5" s="71">
        <f t="shared" si="0"/>
        <v>4.786667436124949</v>
      </c>
    </row>
    <row r="6" spans="1:17" x14ac:dyDescent="0.2">
      <c r="A6" s="46" t="s">
        <v>21</v>
      </c>
      <c r="B6" s="50">
        <v>0</v>
      </c>
      <c r="C6" s="4">
        <v>-4.768596739581219</v>
      </c>
      <c r="D6" s="4">
        <v>7.8938940049846282</v>
      </c>
      <c r="E6" s="51">
        <v>0.62014467848687904</v>
      </c>
      <c r="F6" s="70" t="e">
        <f>INDEX(RESULTATS!$C$2:$C$10,MATCH('enquêtes TIM'!A6,RESULTATS!$B$2:$B$10,0))</f>
        <v>#N/A</v>
      </c>
      <c r="G6" s="71" t="e">
        <f t="shared" si="0"/>
        <v>#N/A</v>
      </c>
    </row>
    <row r="7" spans="1:17" x14ac:dyDescent="0.2">
      <c r="A7" s="46" t="s">
        <v>22</v>
      </c>
      <c r="B7" s="50">
        <v>0</v>
      </c>
      <c r="C7" s="4">
        <v>-1.4104490616449453E-3</v>
      </c>
      <c r="D7" s="4">
        <v>4.7561417838710529</v>
      </c>
      <c r="E7" s="51">
        <v>0.59092414517541825</v>
      </c>
      <c r="F7" s="70" t="e">
        <f>INDEX(RESULTATS!$C$2:$C$10,MATCH('enquêtes TIM'!A7,RESULTATS!$B$2:$B$10,0))</f>
        <v>#N/A</v>
      </c>
      <c r="G7" s="71" t="e">
        <f t="shared" si="0"/>
        <v>#N/A</v>
      </c>
    </row>
    <row r="8" spans="1:17" x14ac:dyDescent="0.2">
      <c r="A8" s="46" t="s">
        <v>23</v>
      </c>
      <c r="B8" s="50">
        <v>0</v>
      </c>
      <c r="C8" s="4">
        <v>1.2090974507346795E-5</v>
      </c>
      <c r="D8" s="4">
        <v>4.3406408625993684</v>
      </c>
      <c r="E8" s="51">
        <v>0.49676501093748415</v>
      </c>
      <c r="F8" s="70" t="e">
        <f>INDEX(RESULTATS!$C$2:$C$10,MATCH('enquêtes TIM'!A8,RESULTATS!$B$2:$B$10,0))</f>
        <v>#N/A</v>
      </c>
      <c r="G8" s="71" t="e">
        <f t="shared" si="0"/>
        <v>#N/A</v>
      </c>
    </row>
    <row r="9" spans="1:17" x14ac:dyDescent="0.2">
      <c r="A9" s="46" t="s">
        <v>24</v>
      </c>
      <c r="B9" s="50">
        <v>0</v>
      </c>
      <c r="C9" s="4">
        <v>0.41039974364674547</v>
      </c>
      <c r="D9" s="4">
        <v>4.2566984210392116</v>
      </c>
      <c r="E9" s="51">
        <v>0.50391217475426797</v>
      </c>
      <c r="F9" s="70">
        <f>INDEX(RESULTATS!$C$2:$C$10,MATCH('enquêtes TIM'!A9,RESULTATS!$B$2:$B$10,0))</f>
        <v>0.20499999999999999</v>
      </c>
      <c r="G9" s="71">
        <f t="shared" si="0"/>
        <v>4.3408303684867944</v>
      </c>
    </row>
    <row r="10" spans="1:17" x14ac:dyDescent="0.2">
      <c r="A10" s="46" t="s">
        <v>25</v>
      </c>
      <c r="B10" s="50">
        <v>0</v>
      </c>
      <c r="C10" s="4">
        <v>-1.7919745389787706E-2</v>
      </c>
      <c r="D10" s="4">
        <v>4.9306271842027947</v>
      </c>
      <c r="E10" s="51">
        <v>0.53358489069630377</v>
      </c>
      <c r="F10" s="70">
        <f>INDEX(RESULTATS!$C$2:$C$10,MATCH('enquêtes TIM'!A10,RESULTATS!$B$2:$B$10,0))</f>
        <v>17</v>
      </c>
      <c r="G10" s="71">
        <f t="shared" si="0"/>
        <v>4.6259915125764035</v>
      </c>
    </row>
    <row r="11" spans="1:17" x14ac:dyDescent="0.2">
      <c r="A11" s="46" t="s">
        <v>26</v>
      </c>
      <c r="B11" s="50">
        <v>0</v>
      </c>
      <c r="C11" s="4">
        <v>-12.527787118873643</v>
      </c>
      <c r="D11" s="4">
        <v>4.9387538129917807</v>
      </c>
      <c r="E11" s="51">
        <v>0.62746941428639891</v>
      </c>
      <c r="F11" s="70">
        <f>INDEX(RESULTATS!$C$2:$C$10,MATCH('enquêtes TIM'!A11,RESULTATS!$B$2:$B$10,0))</f>
        <v>1.4999999999999999E-2</v>
      </c>
      <c r="G11" s="71">
        <f t="shared" si="0"/>
        <v>4.750837006208676</v>
      </c>
    </row>
    <row r="12" spans="1:17" x14ac:dyDescent="0.2">
      <c r="A12" s="46" t="s">
        <v>27</v>
      </c>
      <c r="B12" s="50">
        <v>0</v>
      </c>
      <c r="C12" s="49">
        <v>0.13583671346351398</v>
      </c>
      <c r="D12" s="4">
        <v>4.1578643154437946</v>
      </c>
      <c r="E12" s="51">
        <v>0.51582919702042374</v>
      </c>
      <c r="F12" s="70">
        <f>INDEX(RESULTATS!$C$2:$C$10,MATCH('enquêtes TIM'!A12,RESULTATS!$B$2:$B$10,0))</f>
        <v>4</v>
      </c>
      <c r="G12" s="71">
        <f t="shared" si="0"/>
        <v>4.7012111692978502</v>
      </c>
    </row>
    <row r="13" spans="1:17" ht="17" thickBot="1" x14ac:dyDescent="0.25">
      <c r="A13" s="47" t="s">
        <v>28</v>
      </c>
      <c r="B13" s="52">
        <v>0</v>
      </c>
      <c r="C13" s="53">
        <v>0.43715831324333876</v>
      </c>
      <c r="D13" s="53">
        <v>3.675888037831843</v>
      </c>
      <c r="E13" s="54">
        <v>0.79214905292971449</v>
      </c>
      <c r="F13" s="72">
        <f>INDEX(Q1:Q4,MATCH(INDEX(RESULTATS!$C$2:$C$10,MATCH('enquêtes TIM'!A13,RESULTATS!$B$2:$B$10,0)),P1:P4,0))</f>
        <v>2</v>
      </c>
      <c r="G13" s="73">
        <f t="shared" si="0"/>
        <v>4.550204664318521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8ECE-C93D-9144-846A-54613E4F2FB6}">
  <sheetPr>
    <tabColor theme="2"/>
  </sheetPr>
  <dimension ref="A1:T14"/>
  <sheetViews>
    <sheetView workbookViewId="0">
      <selection activeCell="D2" sqref="D2"/>
    </sheetView>
  </sheetViews>
  <sheetFormatPr baseColWidth="10" defaultColWidth="11" defaultRowHeight="16" x14ac:dyDescent="0.2"/>
  <cols>
    <col min="1" max="1" width="14.5" bestFit="1" customWidth="1"/>
    <col min="2" max="2" width="33.33203125" bestFit="1" customWidth="1"/>
    <col min="4" max="4" width="24.5" bestFit="1" customWidth="1"/>
    <col min="5" max="5" width="23.1640625" bestFit="1" customWidth="1"/>
    <col min="6" max="6" width="23.5" bestFit="1" customWidth="1"/>
    <col min="7" max="7" width="9.83203125" bestFit="1" customWidth="1"/>
    <col min="8" max="8" width="24.1640625" bestFit="1" customWidth="1"/>
    <col min="9" max="9" width="22.83203125" bestFit="1" customWidth="1"/>
    <col min="10" max="10" width="23.1640625" bestFit="1" customWidth="1"/>
    <col min="11" max="11" width="9.83203125" bestFit="1" customWidth="1"/>
    <col min="12" max="12" width="23.6640625" bestFit="1" customWidth="1"/>
    <col min="13" max="13" width="22.33203125" bestFit="1" customWidth="1"/>
    <col min="14" max="14" width="22.6640625" bestFit="1" customWidth="1"/>
    <col min="15" max="15" width="9.83203125" bestFit="1" customWidth="1"/>
  </cols>
  <sheetData>
    <row r="1" spans="1:20" ht="17" thickBot="1" x14ac:dyDescent="0.25">
      <c r="D1" s="5" t="s">
        <v>29</v>
      </c>
      <c r="E1" s="5" t="s">
        <v>30</v>
      </c>
      <c r="F1" s="5" t="s">
        <v>31</v>
      </c>
      <c r="G1" s="101" t="s">
        <v>32</v>
      </c>
      <c r="H1" s="5" t="s">
        <v>33</v>
      </c>
      <c r="I1" s="6" t="s">
        <v>34</v>
      </c>
      <c r="J1" s="7" t="s">
        <v>35</v>
      </c>
      <c r="K1" s="101" t="s">
        <v>36</v>
      </c>
      <c r="L1" s="5" t="s">
        <v>37</v>
      </c>
      <c r="M1" s="6" t="s">
        <v>38</v>
      </c>
      <c r="N1" s="7" t="s">
        <v>39</v>
      </c>
      <c r="O1" s="75" t="s">
        <v>40</v>
      </c>
      <c r="R1" s="102" t="s">
        <v>41</v>
      </c>
      <c r="S1" s="102" t="s">
        <v>42</v>
      </c>
      <c r="T1" s="102" t="s">
        <v>43</v>
      </c>
    </row>
    <row r="2" spans="1:20" x14ac:dyDescent="0.2">
      <c r="A2" s="15" t="s">
        <v>44</v>
      </c>
      <c r="B2" s="8" t="s">
        <v>17</v>
      </c>
      <c r="C2" s="82">
        <f>INDEX(RESULTATS!$C$2:$C$10,MATCH(B2,RESULTATS!$B$2:$B$10,0))</f>
        <v>25676</v>
      </c>
      <c r="D2" s="103" cm="1">
        <f t="array" aca="1" ref="D2" ca="1">MAX(INDEX(INDIRECT(ADDRESS(2,2,,,A2)&amp;":"&amp;ADDRESS(1000,2)),
MATCH(MIN(ABS(INDIRECT(ADDRESS(2,1,,,A2)&amp;":"&amp;ADDRESS(1000,1)) - C2)),ABS(INDIRECT(ADDRESS(2,1,,,A2)&amp;":"&amp;ADDRESS(1000,1)) - C2),0)),0)</f>
        <v>6.0960067294658202</v>
      </c>
      <c r="E2" s="88" cm="1">
        <f t="array" aca="1" ref="E2" ca="1">MAX(INDEX(INDIRECT(ADDRESS(2,4,,,A2)&amp;":"&amp;ADDRESS(1000,4)),
MATCH(MIN(ABS(INDIRECT(ADDRESS(2,1,,,A2)&amp;":"&amp;ADDRESS(1000,1)) - C2)),ABS(INDIRECT(ADDRESS(2,1,,,A2)&amp;":"&amp;ADDRESS(1000,1)) - C2),0)),0)</f>
        <v>4.5278488194247899</v>
      </c>
      <c r="F2" s="104" cm="1">
        <f t="array" aca="1" ref="F2" ca="1">MAX(INDEX(INDIRECT(ADDRESS(2,3,,,A2)&amp;":"&amp;ADDRESS(1000,3)),
MATCH(MIN(ABS(INDIRECT(ADDRESS(2,1,,,A2)&amp;":"&amp;ADDRESS(1000,1)) - C2)),ABS(INDIRECT(ADDRESS(2,1,,,A2)&amp;":"&amp;ADDRESS(1000,1)) - C2),0)),0)</f>
        <v>7.6641646395068399</v>
      </c>
      <c r="G2" s="90">
        <f t="shared" ref="G2:G11" ca="1" si="0">IFERROR((1/(F2-E2)) / $G$12,0)</f>
        <v>0.89897713168638715</v>
      </c>
      <c r="H2" s="103" cm="1">
        <f t="array" aca="1" ref="H2" ca="1">MAX(INDEX(INDIRECT(ADDRESS(2,6,,,A2)&amp;":"&amp;ADDRESS(1000,6)),
MATCH(MIN(ABS(INDIRECT(ADDRESS(2,5,,,A2)&amp;":"&amp;ADDRESS(1000,5)) - C2)),ABS(INDIRECT(ADDRESS(2,5,,,A2)&amp;":"&amp;ADDRESS(1000,5)) - C2),0)),0)</f>
        <v>1.5789625648074599</v>
      </c>
      <c r="I2" s="88" cm="1">
        <f t="array" aca="1" ref="I2" ca="1">MAX(INDEX(INDIRECT(ADDRESS(2,8,,,A2)&amp;":"&amp;ADDRESS(1000,8)),
MATCH(MIN(ABS(INDIRECT(ADDRESS(2,5,,,A2)&amp;":"&amp;ADDRESS(1000,5)) - C2)),ABS(INDIRECT(ADDRESS(2,5,,,A2)&amp;":"&amp;ADDRESS(1000,5)) - C2),0)),0)</f>
        <v>1.2423914585093201</v>
      </c>
      <c r="J2" s="104" cm="1">
        <f t="array" aca="1" ref="J2" ca="1">MAX(INDEX(INDIRECT(ADDRESS(2,7,,,A2)&amp;":"&amp;ADDRESS(1000,7)),
MATCH(MIN(ABS(INDIRECT(ADDRESS(2,5,,,A2)&amp;":"&amp;ADDRESS(1000,5)) - C2)),ABS(INDIRECT(ADDRESS(2,5,,,A2)&amp;":"&amp;ADDRESS(1000,5)) - C2),0)),0)</f>
        <v>1.9155336711055899</v>
      </c>
      <c r="K2" s="90">
        <f t="shared" ref="K2:K11" ca="1" si="1">IFERROR((1/(J2-I2))/$K$12,0)</f>
        <v>1</v>
      </c>
      <c r="L2" s="103" cm="1">
        <f t="array" aca="1" ref="L2" ca="1">MAX(INDEX(INDIRECT(ADDRESS(2,10,,,A2)&amp;":"&amp;ADDRESS(1000,10)),
MATCH(MIN(ABS(INDIRECT(ADDRESS(2,9,,,A2)&amp;":"&amp;ADDRESS(1000,9)) - C2)),ABS(INDIRECT(ADDRESS(2,9,,,A2)&amp;":"&amp;ADDRESS(1000,9)) - C2),0)),0) - (D2+H2)</f>
        <v>5.126493919396319</v>
      </c>
      <c r="M2" s="88" cm="1">
        <f t="array" aca="1" ref="M2" ca="1">MIN(
MAX(INDEX(INDIRECT(ADDRESS(2,12,,,A2)&amp;":"&amp;ADDRESS(1000,12)),
MATCH(MIN(ABS(INDIRECT(ADDRESS(2,9,,,A2)&amp;":"&amp;ADDRESS(1000,9)) - C2)),ABS(INDIRECT(ADDRESS(2,9,,,A2)&amp;":"&amp;ADDRESS(1000,9)) - C2),0)),0) - (E2+I2),
MAX(INDEX(INDIRECT(ADDRESS(2,11,,,A2)&amp;":"&amp;ADDRESS(1000,11)),
MATCH(MIN(ABS(INDIRECT(ADDRESS(2,9,,,A2)&amp;":"&amp;ADDRESS(1000,9)) - C2)),ABS(INDIRECT(ADDRESS(2,9,,,A2)&amp;":"&amp;ADDRESS(1000,9)) - C2),0)),0) - (F2+J2)
)</f>
        <v>4.7673859641255696</v>
      </c>
      <c r="N2" s="89" cm="1">
        <f t="array" aca="1" ref="N2" ca="1">MAX(
MAX(INDEX(INDIRECT(ADDRESS(2,12,,,A2)&amp;":"&amp;ADDRESS(1000,12)),
MATCH(MIN(ABS(INDIRECT(ADDRESS(2,9,,,A2)&amp;":"&amp;ADDRESS(1000,9)) - C2)),ABS(INDIRECT(ADDRESS(2,9,,,A2)&amp;":"&amp;ADDRESS(1000,9)) - C2),0)),0) - (E2+I2),
MAX(INDEX(INDIRECT(ADDRESS(2,11,,,A2)&amp;":"&amp;ADDRESS(1000,11)),
MATCH(MIN(ABS(INDIRECT(ADDRESS(2,9,,,A2)&amp;":"&amp;ADDRESS(1000,9)) - C2)),ABS(INDIRECT(ADDRESS(2,9,,,A2)&amp;":"&amp;ADDRESS(1000,9)) - C2),0)),0) - (F2+J2)
)</f>
        <v>5.4856018746671902</v>
      </c>
      <c r="O2" s="90">
        <f t="shared" ref="O2:O11" ca="1" si="2">IFERROR((1/(N2-M2)) / $O$12,0)</f>
        <v>1.9139622093174262E-2</v>
      </c>
      <c r="R2" s="105">
        <f ca="1">IF(C2=-99,0,1/(F2-E2))</f>
        <v>0.31884544075470012</v>
      </c>
      <c r="S2" s="105">
        <f ca="1">IF(C2=-99,0,1/(J2-I2))</f>
        <v>1.4855701830718044</v>
      </c>
      <c r="T2" s="105">
        <f ca="1">IF(C2=-99,0,1/(N2-M2))</f>
        <v>1.392338968439004</v>
      </c>
    </row>
    <row r="3" spans="1:20" x14ac:dyDescent="0.2">
      <c r="A3" s="15" t="s">
        <v>45</v>
      </c>
      <c r="B3" s="10" t="s">
        <v>18</v>
      </c>
      <c r="C3" s="83">
        <f>INDEX(RESULTATS!$C$2:$C$10,MATCH(B3,RESULTATS!$B$2:$B$10,0))</f>
        <v>13868</v>
      </c>
      <c r="D3" s="106" cm="1">
        <f t="array" aca="1" ref="D3" ca="1">MAX(INDEX(INDIRECT(ADDRESS(2,2,,,A3)&amp;":"&amp;ADDRESS(1000,2)),
MATCH(MIN(ABS(INDIRECT(ADDRESS(2,1,,,A3)&amp;":"&amp;ADDRESS(1000,1)) - C3)),ABS(INDIRECT(ADDRESS(2,1,,,A3)&amp;":"&amp;ADDRESS(1000,1)) - C3),0)),0)</f>
        <v>6.0589275512112497</v>
      </c>
      <c r="E3" s="18" cm="1">
        <f t="array" aca="1" ref="E3" ca="1">MAX(INDEX(INDIRECT(ADDRESS(2,4,,,A3)&amp;":"&amp;ADDRESS(1000,4)),
MATCH(MIN(ABS(INDIRECT(ADDRESS(2,1,,,A3)&amp;":"&amp;ADDRESS(1000,1)) - C3)),ABS(INDIRECT(ADDRESS(2,1,,,A3)&amp;":"&amp;ADDRESS(1000,1)) - C3),0)),0)</f>
        <v>0.91714396258763298</v>
      </c>
      <c r="F3" s="107" cm="1">
        <f t="array" aca="1" ref="F3" ca="1">MAX(INDEX(INDIRECT(ADDRESS(2,3,,,A3)&amp;":"&amp;ADDRESS(1000,3)),
MATCH(MIN(ABS(INDIRECT(ADDRESS(2,1,,,A3)&amp;":"&amp;ADDRESS(1000,1)) - C3)),ABS(INDIRECT(ADDRESS(2,1,,,A3)&amp;":"&amp;ADDRESS(1000,1)) - C3),0)),0)</f>
        <v>11.200711139834899</v>
      </c>
      <c r="G3" s="108">
        <f t="shared" ca="1" si="0"/>
        <v>0.27417297435837096</v>
      </c>
      <c r="H3" s="106" cm="1">
        <f t="array" aca="1" ref="H3" ca="1">MAX(INDEX(INDIRECT(ADDRESS(2,6,,,A3)&amp;":"&amp;ADDRESS(1000,6)),
MATCH(MIN(ABS(INDIRECT(ADDRESS(2,5,,,A3)&amp;":"&amp;ADDRESS(1000,5)) - C3)),ABS(INDIRECT(ADDRESS(2,5,,,A3)&amp;":"&amp;ADDRESS(1000,5)) - C3),0)),0)</f>
        <v>1.3440715298881001</v>
      </c>
      <c r="I3" s="18" cm="1">
        <f t="array" aca="1" ref="I3" ca="1">MAX(INDEX(INDIRECT(ADDRESS(2,8,,,A3)&amp;":"&amp;ADDRESS(1000,8)),
MATCH(MIN(ABS(INDIRECT(ADDRESS(2,5,,,A3)&amp;":"&amp;ADDRESS(1000,5)) - C3)),ABS(INDIRECT(ADDRESS(2,5,,,A3)&amp;":"&amp;ADDRESS(1000,5)) - C3),0)),0)</f>
        <v>0.66093965519081399</v>
      </c>
      <c r="J3" s="107" cm="1">
        <f t="array" aca="1" ref="J3" ca="1">MAX(INDEX(INDIRECT(ADDRESS(2,7,,,A3)&amp;":"&amp;ADDRESS(1000,7)),
MATCH(MIN(ABS(INDIRECT(ADDRESS(2,5,,,A3)&amp;":"&amp;ADDRESS(1000,5)) - C3)),ABS(INDIRECT(ADDRESS(2,5,,,A3)&amp;":"&amp;ADDRESS(1000,5)) - C3),0)),0)</f>
        <v>2.0272034045853902</v>
      </c>
      <c r="K3" s="108">
        <f t="shared" ca="1" si="1"/>
        <v>0.49268833553884095</v>
      </c>
      <c r="L3" s="106" cm="1">
        <f t="array" aca="1" ref="L3" ca="1">MAX(INDEX(INDIRECT(ADDRESS(2,10,,,A3)&amp;":"&amp;ADDRESS(1000,10)),
MATCH(MIN(ABS(INDIRECT(ADDRESS(2,9,,,A3)&amp;":"&amp;ADDRESS(1000,9)) - C3)),ABS(INDIRECT(ADDRESS(2,9,,,A3)&amp;":"&amp;ADDRESS(1000,9)) - C3),0)),0) - (D3+H3)</f>
        <v>4.8260354155435499</v>
      </c>
      <c r="M3" s="18" cm="1">
        <f t="array" aca="1" ref="M3" ca="1">MIN(
MAX(INDEX(INDIRECT(ADDRESS(2,12,,,A3)&amp;":"&amp;ADDRESS(1000,12)),
MATCH(MIN(ABS(INDIRECT(ADDRESS(2,9,,,A3)&amp;":"&amp;ADDRESS(1000,9)) - C3)),ABS(INDIRECT(ADDRESS(2,9,,,A3)&amp;":"&amp;ADDRESS(1000,9)) - C3),0)),0) - (E3+I3),
MAX(INDEX(INDIRECT(ADDRESS(2,11,,,A3)&amp;":"&amp;ADDRESS(1000,11)),
MATCH(MIN(ABS(INDIRECT(ADDRESS(2,9,,,A3)&amp;":"&amp;ADDRESS(1000,9)) - C3)),ABS(INDIRECT(ADDRESS(2,9,,,A3)&amp;":"&amp;ADDRESS(1000,9)) - C3),0)),0) - (F3+J3)
)</f>
        <v>4.8188754506627092</v>
      </c>
      <c r="N3" s="19" cm="1">
        <f t="array" aca="1" ref="N3" ca="1">MAX(
MAX(INDEX(INDIRECT(ADDRESS(2,12,,,A3)&amp;":"&amp;ADDRESS(1000,12)),
MATCH(MIN(ABS(INDIRECT(ADDRESS(2,9,,,A3)&amp;":"&amp;ADDRESS(1000,9)) - C3)),ABS(INDIRECT(ADDRESS(2,9,,,A3)&amp;":"&amp;ADDRESS(1000,9)) - C3),0)),0) - (E3+I3),
MAX(INDEX(INDIRECT(ADDRESS(2,11,,,A3)&amp;":"&amp;ADDRESS(1000,11)),
MATCH(MIN(ABS(INDIRECT(ADDRESS(2,9,,,A3)&amp;":"&amp;ADDRESS(1000,9)) - C3)),ABS(INDIRECT(ADDRESS(2,9,,,A3)&amp;":"&amp;ADDRESS(1000,9)) - C3),0)),0) - (F3+J3)
)</f>
        <v>4.8331953804243426</v>
      </c>
      <c r="O3" s="91">
        <f t="shared" ca="1" si="2"/>
        <v>0.95994752333922484</v>
      </c>
      <c r="R3" s="105">
        <f t="shared" ref="R3:R11" ca="1" si="3">IF(C3=-99,0,1/(F3-E3))</f>
        <v>9.7242521273409196E-2</v>
      </c>
      <c r="S3" s="105">
        <f t="shared" ref="S3:S11" ca="1" si="4">IF(C3=-99,0,1/(J3-I3))</f>
        <v>0.73192310082377854</v>
      </c>
      <c r="T3" s="105">
        <f t="shared" ref="T3:T11" ca="1" si="5">IF(C3=-99,0,1/(N3-M3))</f>
        <v>69.832744758234966</v>
      </c>
    </row>
    <row r="4" spans="1:20" x14ac:dyDescent="0.2">
      <c r="A4" s="16" t="s">
        <v>46</v>
      </c>
      <c r="B4" s="10" t="s">
        <v>19</v>
      </c>
      <c r="C4" s="84">
        <f>INDEX(RESULTATS!$C$2:$C$10,MATCH(B4,RESULTATS!$B$2:$B$10,0))</f>
        <v>0.08</v>
      </c>
      <c r="D4" s="106" cm="1">
        <f t="array" aca="1" ref="D4" ca="1">MAX(INDEX(INDIRECT(ADDRESS(2,2,,,A4)&amp;":"&amp;ADDRESS(1000,2)),
MATCH(MIN(ABS(INDIRECT(ADDRESS(2,1,,,A4)&amp;":"&amp;ADDRESS(1000,1)) - C4)),ABS(INDIRECT(ADDRESS(2,1,,,A4)&amp;":"&amp;ADDRESS(1000,1)) - C4),0)),0)</f>
        <v>9.0725102886329108</v>
      </c>
      <c r="E4" s="18" cm="1">
        <f t="array" aca="1" ref="E4" ca="1">MAX(INDEX(INDIRECT(ADDRESS(2,4,,,A4)&amp;":"&amp;ADDRESS(1000,4)),
MATCH(MIN(ABS(INDIRECT(ADDRESS(2,1,,,A4)&amp;":"&amp;ADDRESS(1000,1)) - C4)),ABS(INDIRECT(ADDRESS(2,1,,,A4)&amp;":"&amp;ADDRESS(1000,1)) - C4),0)),0)</f>
        <v>5.0518212378068696</v>
      </c>
      <c r="F4" s="107" cm="1">
        <f t="array" aca="1" ref="F4" ca="1">MAX(INDEX(INDIRECT(ADDRESS(2,3,,,A4)&amp;":"&amp;ADDRESS(1000,3)),
MATCH(MIN(ABS(INDIRECT(ADDRESS(2,1,,,A4)&amp;":"&amp;ADDRESS(1000,1)) - C4)),ABS(INDIRECT(ADDRESS(2,1,,,A4)&amp;":"&amp;ADDRESS(1000,1)) - C4),0)),0)</f>
        <v>13.093199339459</v>
      </c>
      <c r="G4" s="108">
        <f t="shared" ca="1" si="0"/>
        <v>0.35062102096912079</v>
      </c>
      <c r="H4" s="106" cm="1">
        <f t="array" aca="1" ref="H4" ca="1">MAX(INDEX(INDIRECT(ADDRESS(2,6,,,A4)&amp;":"&amp;ADDRESS(1000,6)),
MATCH(MIN(ABS(INDIRECT(ADDRESS(2,5,,,A4)&amp;":"&amp;ADDRESS(1000,5)) - C4)),ABS(INDIRECT(ADDRESS(2,5,,,A4)&amp;":"&amp;ADDRESS(1000,5)) - C4),0)),0)</f>
        <v>1.2209541829474799</v>
      </c>
      <c r="I4" s="18" cm="1">
        <f t="array" aca="1" ref="I4" ca="1">MAX(INDEX(INDIRECT(ADDRESS(2,8,,,A4)&amp;":"&amp;ADDRESS(1000,8)),
MATCH(MIN(ABS(INDIRECT(ADDRESS(2,5,,,A4)&amp;":"&amp;ADDRESS(1000,5)) - C4)),ABS(INDIRECT(ADDRESS(2,5,,,A4)&amp;":"&amp;ADDRESS(1000,5)) - C4),0)),0)</f>
        <v>0.42958085513097999</v>
      </c>
      <c r="J4" s="107" cm="1">
        <f t="array" aca="1" ref="J4" ca="1">MAX(INDEX(INDIRECT(ADDRESS(2,7,,,A4)&amp;":"&amp;ADDRESS(1000,7)),
MATCH(MIN(ABS(INDIRECT(ADDRESS(2,5,,,A4)&amp;":"&amp;ADDRESS(1000,5)) - C4)),ABS(INDIRECT(ADDRESS(2,5,,,A4)&amp;":"&amp;ADDRESS(1000,5)) - C4),0)),0)</f>
        <v>2.01232751076398</v>
      </c>
      <c r="K4" s="108">
        <f t="shared" ca="1" si="1"/>
        <v>0.42530003788070231</v>
      </c>
      <c r="L4" s="106" cm="1">
        <f t="array" aca="1" ref="L4" ca="1">MAX(INDEX(INDIRECT(ADDRESS(2,10,,,A4)&amp;":"&amp;ADDRESS(1000,10)),
MATCH(MIN(ABS(INDIRECT(ADDRESS(2,9,,,A4)&amp;":"&amp;ADDRESS(1000,9)) - C4)),ABS(INDIRECT(ADDRESS(2,9,,,A4)&amp;":"&amp;ADDRESS(1000,9)) - C4),0)),0) - (D4+H4)</f>
        <v>5.8502011301143089</v>
      </c>
      <c r="M4" s="18" cm="1">
        <f t="array" aca="1" ref="M4" ca="1">MIN(
MAX(INDEX(INDIRECT(ADDRESS(2,12,,,A4)&amp;":"&amp;ADDRESS(1000,12)),
MATCH(MIN(ABS(INDIRECT(ADDRESS(2,9,,,A4)&amp;":"&amp;ADDRESS(1000,9)) - C4)),ABS(INDIRECT(ADDRESS(2,9,,,A4)&amp;":"&amp;ADDRESS(1000,9)) - C4),0)),0) - (E4+I4),
MAX(INDEX(INDIRECT(ADDRESS(2,11,,,A4)&amp;":"&amp;ADDRESS(1000,11)),
MATCH(MIN(ABS(INDIRECT(ADDRESS(2,9,,,A4)&amp;":"&amp;ADDRESS(1000,9)) - C4)),ABS(INDIRECT(ADDRESS(2,9,,,A4)&amp;":"&amp;ADDRESS(1000,9)) - C4),0)),0) - (F4+J4)
)</f>
        <v>5.8433279395597504</v>
      </c>
      <c r="N4" s="19" cm="1">
        <f t="array" aca="1" ref="N4" ca="1">MAX(
MAX(INDEX(INDIRECT(ADDRESS(2,12,,,A4)&amp;":"&amp;ADDRESS(1000,12)),
MATCH(MIN(ABS(INDIRECT(ADDRESS(2,9,,,A4)&amp;":"&amp;ADDRESS(1000,9)) - C4)),ABS(INDIRECT(ADDRESS(2,9,,,A4)&amp;":"&amp;ADDRESS(1000,9)) - C4),0)),0) - (E4+I4),
MAX(INDEX(INDIRECT(ADDRESS(2,11,,,A4)&amp;":"&amp;ADDRESS(1000,11)),
MATCH(MIN(ABS(INDIRECT(ADDRESS(2,9,,,A4)&amp;":"&amp;ADDRESS(1000,9)) - C4)),ABS(INDIRECT(ADDRESS(2,9,,,A4)&amp;":"&amp;ADDRESS(1000,9)) - C4),0)),0) - (F4+J4)
)</f>
        <v>5.8570743206688221</v>
      </c>
      <c r="O4" s="91">
        <f t="shared" ca="1" si="2"/>
        <v>1</v>
      </c>
      <c r="R4" s="105">
        <f t="shared" ca="1" si="3"/>
        <v>0.12435679399213256</v>
      </c>
      <c r="S4" s="105">
        <f t="shared" ca="1" si="4"/>
        <v>0.63181305513488029</v>
      </c>
      <c r="T4" s="105">
        <f t="shared" ca="1" si="5"/>
        <v>72.746419007695664</v>
      </c>
    </row>
    <row r="5" spans="1:20" x14ac:dyDescent="0.2">
      <c r="A5" s="15" t="s">
        <v>47</v>
      </c>
      <c r="B5" s="10" t="s">
        <v>20</v>
      </c>
      <c r="C5" s="83">
        <f>INDEX(RESULTATS!$C$2:$C$10,MATCH(B5,RESULTATS!$B$2:$B$10,0))</f>
        <v>43</v>
      </c>
      <c r="D5" s="106" cm="1">
        <f t="array" aca="1" ref="D5" ca="1">MAX(INDEX(INDIRECT(ADDRESS(2,2,,,A5)&amp;":"&amp;ADDRESS(1000,2)),
MATCH(MIN(ABS(INDIRECT(ADDRESS(2,1,,,A5)&amp;":"&amp;ADDRESS(1000,1)) - C5)),ABS(INDIRECT(ADDRESS(2,1,,,A5)&amp;":"&amp;ADDRESS(1000,1)) - C5),0)),0)</f>
        <v>5.8223057840392398</v>
      </c>
      <c r="E5" s="18" cm="1">
        <f t="array" aca="1" ref="E5" ca="1">MAX(INDEX(INDIRECT(ADDRESS(2,4,,,A5)&amp;":"&amp;ADDRESS(1000,4)),
MATCH(MIN(ABS(INDIRECT(ADDRESS(2,1,,,A5)&amp;":"&amp;ADDRESS(1000,1)) - C5)),ABS(INDIRECT(ADDRESS(2,1,,,A5)&amp;":"&amp;ADDRESS(1000,1)) - C5),0)),0)</f>
        <v>3.2502632749674198</v>
      </c>
      <c r="F5" s="107" cm="1">
        <f t="array" aca="1" ref="F5" ca="1">MAX(INDEX(INDIRECT(ADDRESS(2,3,,,A5)&amp;":"&amp;ADDRESS(1000,3)),
MATCH(MIN(ABS(INDIRECT(ADDRESS(2,1,,,A5)&amp;":"&amp;ADDRESS(1000,1)) - C5)),ABS(INDIRECT(ADDRESS(2,1,,,A5)&amp;":"&amp;ADDRESS(1000,1)) - C5),0)),0)</f>
        <v>8.3943482931110598</v>
      </c>
      <c r="G5" s="108">
        <f t="shared" ca="1" si="0"/>
        <v>0.54810062237608048</v>
      </c>
      <c r="H5" s="106" cm="1">
        <f t="array" aca="1" ref="H5" ca="1">MAX(INDEX(INDIRECT(ADDRESS(2,6,,,A5)&amp;":"&amp;ADDRESS(1000,6)),
MATCH(MIN(ABS(INDIRECT(ADDRESS(2,5,,,A5)&amp;":"&amp;ADDRESS(1000,5)) - C5)),ABS(INDIRECT(ADDRESS(2,5,,,A5)&amp;":"&amp;ADDRESS(1000,5)) - C5),0)),0)</f>
        <v>1.3168484678514201</v>
      </c>
      <c r="I5" s="18" cm="1">
        <f t="array" aca="1" ref="I5" ca="1">MAX(INDEX(INDIRECT(ADDRESS(2,8,,,A5)&amp;":"&amp;ADDRESS(1000,8)),
MATCH(MIN(ABS(INDIRECT(ADDRESS(2,5,,,A5)&amp;":"&amp;ADDRESS(1000,5)) - C5)),ABS(INDIRECT(ADDRESS(2,5,,,A5)&amp;":"&amp;ADDRESS(1000,5)) - C5),0)),0)</f>
        <v>0.60834305464385396</v>
      </c>
      <c r="J5" s="107" cm="1">
        <f t="array" aca="1" ref="J5" ca="1">MAX(INDEX(INDIRECT(ADDRESS(2,7,,,A5)&amp;":"&amp;ADDRESS(1000,7)),
MATCH(MIN(ABS(INDIRECT(ADDRESS(2,5,,,A5)&amp;":"&amp;ADDRESS(1000,5)) - C5)),ABS(INDIRECT(ADDRESS(2,5,,,A5)&amp;":"&amp;ADDRESS(1000,5)) - C5),0)),0)</f>
        <v>2.0253538810589902</v>
      </c>
      <c r="K5" s="108">
        <f t="shared" ca="1" si="1"/>
        <v>0.47504380351082925</v>
      </c>
      <c r="L5" s="106" cm="1">
        <f t="array" aca="1" ref="L5" ca="1">MAX(INDEX(INDIRECT(ADDRESS(2,10,,,A5)&amp;":"&amp;ADDRESS(1000,10)),
MATCH(MIN(ABS(INDIRECT(ADDRESS(2,9,,,A5)&amp;":"&amp;ADDRESS(1000,9)) - C5)),ABS(INDIRECT(ADDRESS(2,9,,,A5)&amp;":"&amp;ADDRESS(1000,9)) - C5),0)),0) - (D5+H5)</f>
        <v>5.1384151891754408</v>
      </c>
      <c r="M5" s="18" cm="1">
        <f t="array" aca="1" ref="M5" ca="1">MIN(
MAX(INDEX(INDIRECT(ADDRESS(2,12,,,A5)&amp;":"&amp;ADDRESS(1000,12)),
MATCH(MIN(ABS(INDIRECT(ADDRESS(2,9,,,A5)&amp;":"&amp;ADDRESS(1000,9)) - C5)),ABS(INDIRECT(ADDRESS(2,9,,,A5)&amp;":"&amp;ADDRESS(1000,9)) - C5),0)),0) - (E5+I5),
MAX(INDEX(INDIRECT(ADDRESS(2,11,,,A5)&amp;":"&amp;ADDRESS(1000,11)),
MATCH(MIN(ABS(INDIRECT(ADDRESS(2,9,,,A5)&amp;":"&amp;ADDRESS(1000,9)) - C5)),ABS(INDIRECT(ADDRESS(2,9,,,A5)&amp;":"&amp;ADDRESS(1000,9)) - C5),0)),0) - (F5+J5)
)</f>
        <v>4.9556284955961871</v>
      </c>
      <c r="N5" s="19" cm="1">
        <f t="array" aca="1" ref="N5" ca="1">MAX(
MAX(INDEX(INDIRECT(ADDRESS(2,12,,,A5)&amp;":"&amp;ADDRESS(1000,12)),
MATCH(MIN(ABS(INDIRECT(ADDRESS(2,9,,,A5)&amp;":"&amp;ADDRESS(1000,9)) - C5)),ABS(INDIRECT(ADDRESS(2,9,,,A5)&amp;":"&amp;ADDRESS(1000,9)) - C5),0)),0) - (E5+I5),
MAX(INDEX(INDIRECT(ADDRESS(2,11,,,A5)&amp;":"&amp;ADDRESS(1000,11)),
MATCH(MIN(ABS(INDIRECT(ADDRESS(2,9,,,A5)&amp;":"&amp;ADDRESS(1000,9)) - C5)),ABS(INDIRECT(ADDRESS(2,9,,,A5)&amp;":"&amp;ADDRESS(1000,9)) - C5),0)),0) - (F5+J5)
)</f>
        <v>5.3212018827546501</v>
      </c>
      <c r="O5" s="91">
        <f t="shared" ca="1" si="2"/>
        <v>3.7602247843914048E-2</v>
      </c>
      <c r="R5" s="105">
        <f t="shared" ca="1" si="3"/>
        <v>0.19439803122866595</v>
      </c>
      <c r="S5" s="105">
        <f t="shared" ca="1" si="4"/>
        <v>0.7057109101487089</v>
      </c>
      <c r="T5" s="105">
        <f t="shared" ca="1" si="5"/>
        <v>2.7354288772845923</v>
      </c>
    </row>
    <row r="6" spans="1:20" x14ac:dyDescent="0.2">
      <c r="A6" s="15" t="s">
        <v>51</v>
      </c>
      <c r="B6" s="10" t="s">
        <v>24</v>
      </c>
      <c r="C6" s="85">
        <f>INDEX(RESULTATS!$C$2:$C$10,MATCH(B6,RESULTATS!$B$2:$B$10,0))</f>
        <v>0.20499999999999999</v>
      </c>
      <c r="D6" s="106" cm="1">
        <f t="array" aca="1" ref="D6" ca="1">MAX(INDEX(INDIRECT(ADDRESS(2,2,,,A6)&amp;":"&amp;ADDRESS(1000,2)),
MATCH(MIN(ABS(INDIRECT(ADDRESS(2,1,,,A6)&amp;":"&amp;ADDRESS(1000,1)) - C6)),ABS(INDIRECT(ADDRESS(2,1,,,A6)&amp;":"&amp;ADDRESS(1000,1)) - C6),0)),0)</f>
        <v>7.4619642842452496</v>
      </c>
      <c r="E6" s="18" cm="1">
        <f t="array" aca="1" ref="E6" ca="1">MAX(INDEX(INDIRECT(ADDRESS(2,4,,,A6)&amp;":"&amp;ADDRESS(1000,4)),
MATCH(MIN(ABS(INDIRECT(ADDRESS(2,1,,,A6)&amp;":"&amp;ADDRESS(1000,1)) - C6)),ABS(INDIRECT(ADDRESS(2,1,,,A6)&amp;":"&amp;ADDRESS(1000,1)) - C6),0)),0)</f>
        <v>2.5527221072117401</v>
      </c>
      <c r="F6" s="107" cm="1">
        <f t="array" aca="1" ref="F6" ca="1">MAX(INDEX(INDIRECT(ADDRESS(2,3,,,A6)&amp;":"&amp;ADDRESS(1000,3)),
MATCH(MIN(ABS(INDIRECT(ADDRESS(2,1,,,A6)&amp;":"&amp;ADDRESS(1000,1)) - C6)),ABS(INDIRECT(ADDRESS(2,1,,,A6)&amp;":"&amp;ADDRESS(1000,1)) - C6),0)),0)</f>
        <v>12.371206461278801</v>
      </c>
      <c r="G6" s="108">
        <f t="shared" ca="1" si="0"/>
        <v>0.28716002371915006</v>
      </c>
      <c r="H6" s="106" cm="1">
        <f t="array" aca="1" ref="H6" ca="1">MAX(INDEX(INDIRECT(ADDRESS(2,6,,,A6)&amp;":"&amp;ADDRESS(1000,6)),
MATCH(MIN(ABS(INDIRECT(ADDRESS(2,5,,,A6)&amp;":"&amp;ADDRESS(1000,5)) - C6)),ABS(INDIRECT(ADDRESS(2,5,,,A6)&amp;":"&amp;ADDRESS(1000,5)) - C6),0)),0)</f>
        <v>0.87146043694622599</v>
      </c>
      <c r="I6" s="18" cm="1">
        <f t="array" aca="1" ref="I6" ca="1">MAX(INDEX(INDIRECT(ADDRESS(2,8,,,A6)&amp;":"&amp;ADDRESS(1000,8)),
MATCH(MIN(ABS(INDIRECT(ADDRESS(2,5,,,A6)&amp;":"&amp;ADDRESS(1000,5)) - C6)),ABS(INDIRECT(ADDRESS(2,5,,,A6)&amp;":"&amp;ADDRESS(1000,5)) - C6),0)),0)</f>
        <v>0</v>
      </c>
      <c r="J6" s="107" cm="1">
        <f t="array" aca="1" ref="J6" ca="1">MAX(INDEX(INDIRECT(ADDRESS(2,7,,,A6)&amp;":"&amp;ADDRESS(1000,7)),
MATCH(MIN(ABS(INDIRECT(ADDRESS(2,5,,,A6)&amp;":"&amp;ADDRESS(1000,5)) - C6)),ABS(INDIRECT(ADDRESS(2,5,,,A6)&amp;":"&amp;ADDRESS(1000,5)) - C6),0)),0)</f>
        <v>2.10515618604656</v>
      </c>
      <c r="K6" s="108">
        <f t="shared" ca="1" si="1"/>
        <v>0.31975879844830757</v>
      </c>
      <c r="L6" s="106" cm="1">
        <f t="array" aca="1" ref="L6" ca="1">MAX(INDEX(INDIRECT(ADDRESS(2,10,,,A6)&amp;":"&amp;ADDRESS(1000,10)),
MATCH(MIN(ABS(INDIRECT(ADDRESS(2,9,,,A6)&amp;":"&amp;ADDRESS(1000,9)) - C6)),ABS(INDIRECT(ADDRESS(2,9,,,A6)&amp;":"&amp;ADDRESS(1000,9)) - C6),0)),0) - (D6+H6)</f>
        <v>8.0883669836510261</v>
      </c>
      <c r="M6" s="18" cm="1">
        <f t="array" aca="1" ref="M6" ca="1">MIN(
MAX(INDEX(INDIRECT(ADDRESS(2,12,,,A6)&amp;":"&amp;ADDRESS(1000,12)),
MATCH(MIN(ABS(INDIRECT(ADDRESS(2,9,,,A6)&amp;":"&amp;ADDRESS(1000,9)) - C6)),ABS(INDIRECT(ADDRESS(2,9,,,A6)&amp;":"&amp;ADDRESS(1000,9)) - C6),0)),0) - (E6+I6),
MAX(INDEX(INDIRECT(ADDRESS(2,11,,,A6)&amp;":"&amp;ADDRESS(1000,11)),
MATCH(MIN(ABS(INDIRECT(ADDRESS(2,9,,,A6)&amp;":"&amp;ADDRESS(1000,9)) - C6)),ABS(INDIRECT(ADDRESS(2,9,,,A6)&amp;":"&amp;ADDRESS(1000,9)) - C6),0)),0) - (F6+J6)
)</f>
        <v>6.7869211893999006</v>
      </c>
      <c r="N6" s="19" cm="1">
        <f t="array" aca="1" ref="N6" ca="1">MAX(
MAX(INDEX(INDIRECT(ADDRESS(2,12,,,A6)&amp;":"&amp;ADDRESS(1000,12)),
MATCH(MIN(ABS(INDIRECT(ADDRESS(2,9,,,A6)&amp;":"&amp;ADDRESS(1000,9)) - C6)),ABS(INDIRECT(ADDRESS(2,9,,,A6)&amp;":"&amp;ADDRESS(1000,9)) - C6),0)),0) - (E6+I6),
MAX(INDEX(INDIRECT(ADDRESS(2,11,,,A6)&amp;":"&amp;ADDRESS(1000,11)),
MATCH(MIN(ABS(INDIRECT(ADDRESS(2,9,,,A6)&amp;":"&amp;ADDRESS(1000,9)) - C6)),ABS(INDIRECT(ADDRESS(2,9,,,A6)&amp;":"&amp;ADDRESS(1000,9)) - C6),0)),0) - (F6+J6)
)</f>
        <v>9.0275774657479371</v>
      </c>
      <c r="O6" s="91">
        <f t="shared" ca="1" si="2"/>
        <v>6.1349798512944581E-3</v>
      </c>
      <c r="R6" s="105">
        <f t="shared" ca="1" si="3"/>
        <v>0.10184871350187315</v>
      </c>
      <c r="S6" s="105">
        <f t="shared" ca="1" si="4"/>
        <v>0.47502413674967248</v>
      </c>
      <c r="T6" s="105">
        <f t="shared" ca="1" si="5"/>
        <v>0.44629781486603709</v>
      </c>
    </row>
    <row r="7" spans="1:20" x14ac:dyDescent="0.2">
      <c r="A7" s="15" t="s">
        <v>52</v>
      </c>
      <c r="B7" s="10" t="s">
        <v>25</v>
      </c>
      <c r="C7" s="83">
        <f>INDEX(RESULTATS!$C$2:$C$10,MATCH(B7,RESULTATS!$B$2:$B$10,0))</f>
        <v>17</v>
      </c>
      <c r="D7" s="106" cm="1">
        <f t="array" aca="1" ref="D7" ca="1">MAX(INDEX(INDIRECT(ADDRESS(2,2,,,A7)&amp;":"&amp;ADDRESS(1000,2)),
MATCH(MIN(ABS(INDIRECT(ADDRESS(2,1,,,A7)&amp;":"&amp;ADDRESS(1000,1)) - C7)),ABS(INDIRECT(ADDRESS(2,1,,,A7)&amp;":"&amp;ADDRESS(1000,1)) - C7),0)),0)</f>
        <v>7.4979212711902603</v>
      </c>
      <c r="E7" s="18" cm="1">
        <f t="array" aca="1" ref="E7" ca="1">MAX(INDEX(INDIRECT(ADDRESS(2,4,,,A7)&amp;":"&amp;ADDRESS(1000,4)),
MATCH(MIN(ABS(INDIRECT(ADDRESS(2,1,,,A7)&amp;":"&amp;ADDRESS(1000,1)) - C7)),ABS(INDIRECT(ADDRESS(2,1,,,A7)&amp;":"&amp;ADDRESS(1000,1)) - C7),0)),0)</f>
        <v>5.2348877839140799</v>
      </c>
      <c r="F7" s="107" cm="1">
        <f t="array" aca="1" ref="F7" ca="1">MAX(INDEX(INDIRECT(ADDRESS(2,3,,,A7)&amp;":"&amp;ADDRESS(1000,3)),
MATCH(MIN(ABS(INDIRECT(ADDRESS(2,1,,,A7)&amp;":"&amp;ADDRESS(1000,1)) - C7)),ABS(INDIRECT(ADDRESS(2,1,,,A7)&amp;":"&amp;ADDRESS(1000,1)) - C7),0)),0)</f>
        <v>9.7609547584664398</v>
      </c>
      <c r="G7" s="108">
        <f t="shared" ca="1" si="0"/>
        <v>0.62294177612757351</v>
      </c>
      <c r="H7" s="106" cm="1">
        <f t="array" aca="1" ref="H7" ca="1">MAX(INDEX(INDIRECT(ADDRESS(2,6,,,A7)&amp;":"&amp;ADDRESS(1000,6)),
MATCH(MIN(ABS(INDIRECT(ADDRESS(2,5,,,A7)&amp;":"&amp;ADDRESS(1000,5)) - C7)),ABS(INDIRECT(ADDRESS(2,5,,,A7)&amp;":"&amp;ADDRESS(1000,5)) - C7),0)),0)</f>
        <v>1.4885637568810199</v>
      </c>
      <c r="I7" s="18" cm="1">
        <f t="array" aca="1" ref="I7" ca="1">MAX(INDEX(INDIRECT(ADDRESS(2,8,,,A7)&amp;":"&amp;ADDRESS(1000,8)),
MATCH(MIN(ABS(INDIRECT(ADDRESS(2,5,,,A7)&amp;":"&amp;ADDRESS(1000,5)) - C7)),ABS(INDIRECT(ADDRESS(2,5,,,A7)&amp;":"&amp;ADDRESS(1000,5)) - C7),0)),0)</f>
        <v>0.79829590851351095</v>
      </c>
      <c r="J7" s="107" cm="1">
        <f t="array" aca="1" ref="J7" ca="1">MAX(INDEX(INDIRECT(ADDRESS(2,7,,,A7)&amp;":"&amp;ADDRESS(1000,7)),
MATCH(MIN(ABS(INDIRECT(ADDRESS(2,5,,,A7)&amp;":"&amp;ADDRESS(1000,5)) - C7)),ABS(INDIRECT(ADDRESS(2,5,,,A7)&amp;":"&amp;ADDRESS(1000,5)) - C7),0)),0)</f>
        <v>2.1788316052485301</v>
      </c>
      <c r="K7" s="108">
        <f t="shared" ca="1" si="1"/>
        <v>0.48759493447960672</v>
      </c>
      <c r="L7" s="106" cm="1">
        <f t="array" aca="1" ref="L7" ca="1">MAX(INDEX(INDIRECT(ADDRESS(2,10,,,A7)&amp;":"&amp;ADDRESS(1000,10)),
MATCH(MIN(ABS(INDIRECT(ADDRESS(2,9,,,A7)&amp;":"&amp;ADDRESS(1000,9)) - C7)),ABS(INDIRECT(ADDRESS(2,9,,,A7)&amp;":"&amp;ADDRESS(1000,9)) - C7),0)),0) - (D7+H7)</f>
        <v>4.0786101347298196</v>
      </c>
      <c r="M7" s="18" cm="1">
        <f t="array" aca="1" ref="M7" ca="1">MIN(
MAX(INDEX(INDIRECT(ADDRESS(2,12,,,A7)&amp;":"&amp;ADDRESS(1000,12)),
MATCH(MIN(ABS(INDIRECT(ADDRESS(2,9,,,A7)&amp;":"&amp;ADDRESS(1000,9)) - C7)),ABS(INDIRECT(ADDRESS(2,9,,,A7)&amp;":"&amp;ADDRESS(1000,9)) - C7),0)),0) - (E7+I7),
MAX(INDEX(INDIRECT(ADDRESS(2,11,,,A7)&amp;":"&amp;ADDRESS(1000,11)),
MATCH(MIN(ABS(INDIRECT(ADDRESS(2,9,,,A7)&amp;":"&amp;ADDRESS(1000,9)) - C7)),ABS(INDIRECT(ADDRESS(2,9,,,A7)&amp;":"&amp;ADDRESS(1000,9)) - C7),0)),0) - (F7+J7)
)</f>
        <v>3.6270960912004684</v>
      </c>
      <c r="N7" s="19" cm="1">
        <f t="array" aca="1" ref="N7" ca="1">MAX(
MAX(INDEX(INDIRECT(ADDRESS(2,12,,,A7)&amp;":"&amp;ADDRESS(1000,12)),
MATCH(MIN(ABS(INDIRECT(ADDRESS(2,9,,,A7)&amp;":"&amp;ADDRESS(1000,9)) - C7)),ABS(INDIRECT(ADDRESS(2,9,,,A7)&amp;":"&amp;ADDRESS(1000,9)) - C7),0)),0) - (E7+I7),
MAX(INDEX(INDIRECT(ADDRESS(2,11,,,A7)&amp;":"&amp;ADDRESS(1000,11)),
MATCH(MIN(ABS(INDIRECT(ADDRESS(2,9,,,A7)&amp;":"&amp;ADDRESS(1000,9)) - C7)),ABS(INDIRECT(ADDRESS(2,9,,,A7)&amp;":"&amp;ADDRESS(1000,9)) - C7),0)),0) - (F7+J7)
)</f>
        <v>4.5301241782590296</v>
      </c>
      <c r="O7" s="91">
        <f t="shared" ca="1" si="2"/>
        <v>1.5222539925472131E-2</v>
      </c>
      <c r="R7" s="105">
        <f t="shared" ca="1" si="3"/>
        <v>0.22094237792380494</v>
      </c>
      <c r="S7" s="105">
        <f t="shared" ca="1" si="4"/>
        <v>0.72435649607975383</v>
      </c>
      <c r="T7" s="105">
        <f t="shared" ca="1" si="5"/>
        <v>1.107385267779772</v>
      </c>
    </row>
    <row r="8" spans="1:20" x14ac:dyDescent="0.2">
      <c r="A8" s="15" t="s">
        <v>53</v>
      </c>
      <c r="B8" s="10" t="s">
        <v>26</v>
      </c>
      <c r="C8" s="85">
        <f>INDEX(RESULTATS!$C$2:$C$10,MATCH(B8,RESULTATS!$B$2:$B$10,0))</f>
        <v>1.4999999999999999E-2</v>
      </c>
      <c r="D8" s="106" cm="1">
        <f t="array" aca="1" ref="D8" ca="1">MAX(INDEX(INDIRECT(ADDRESS(2,2,,,A8)&amp;":"&amp;ADDRESS(1000,2)),
MATCH(MIN(ABS(INDIRECT(ADDRESS(2,1,,,A8)&amp;":"&amp;ADDRESS(1000,1)) - C8)),ABS(INDIRECT(ADDRESS(2,1,,,A8)&amp;":"&amp;ADDRESS(1000,1)) - C8),0)),0)</f>
        <v>6.8055475545243196</v>
      </c>
      <c r="E8" s="18" cm="1">
        <f t="array" aca="1" ref="E8" ca="1">MAX(INDEX(INDIRECT(ADDRESS(2,4,,,A8)&amp;":"&amp;ADDRESS(1000,4)),
MATCH(MIN(ABS(INDIRECT(ADDRESS(2,1,,,A8)&amp;":"&amp;ADDRESS(1000,1)) - C8)),ABS(INDIRECT(ADDRESS(2,1,,,A8)&amp;":"&amp;ADDRESS(1000,1)) - C8),0)),0)</f>
        <v>2.2585027178716301</v>
      </c>
      <c r="F8" s="107" cm="1">
        <f t="array" aca="1" ref="F8" ca="1">MAX(INDEX(INDIRECT(ADDRESS(2,3,,,A8)&amp;":"&amp;ADDRESS(1000,3)),
MATCH(MIN(ABS(INDIRECT(ADDRESS(2,1,,,A8)&amp;":"&amp;ADDRESS(1000,1)) - C8)),ABS(INDIRECT(ADDRESS(2,1,,,A8)&amp;":"&amp;ADDRESS(1000,1)) - C8),0)),0)</f>
        <v>11.352592391177</v>
      </c>
      <c r="G8" s="108">
        <f t="shared" ca="1" si="0"/>
        <v>0.3100339122756004</v>
      </c>
      <c r="H8" s="106" cm="1">
        <f t="array" aca="1" ref="H8" ca="1">MAX(INDEX(INDIRECT(ADDRESS(2,6,,,A8)&amp;":"&amp;ADDRESS(1000,6)),
MATCH(MIN(ABS(INDIRECT(ADDRESS(2,5,,,A8)&amp;":"&amp;ADDRESS(1000,5)) - C8)),ABS(INDIRECT(ADDRESS(2,5,,,A8)&amp;":"&amp;ADDRESS(1000,5)) - C8),0)),0)</f>
        <v>1.57100444276375</v>
      </c>
      <c r="I8" s="18" cm="1">
        <f t="array" aca="1" ref="I8" ca="1">MAX(INDEX(INDIRECT(ADDRESS(2,8,,,A8)&amp;":"&amp;ADDRESS(1000,8)),
MATCH(MIN(ABS(INDIRECT(ADDRESS(2,5,,,A8)&amp;":"&amp;ADDRESS(1000,5)) - C8)),ABS(INDIRECT(ADDRESS(2,5,,,A8)&amp;":"&amp;ADDRESS(1000,5)) - C8),0)),0)</f>
        <v>0.84317805587906303</v>
      </c>
      <c r="J8" s="107" cm="1">
        <f t="array" aca="1" ref="J8" ca="1">MAX(INDEX(INDIRECT(ADDRESS(2,7,,,A8)&amp;":"&amp;ADDRESS(1000,7)),
MATCH(MIN(ABS(INDIRECT(ADDRESS(2,5,,,A8)&amp;":"&amp;ADDRESS(1000,5)) - C8)),ABS(INDIRECT(ADDRESS(2,5,,,A8)&amp;":"&amp;ADDRESS(1000,5)) - C8),0)),0)</f>
        <v>2.2988308296484399</v>
      </c>
      <c r="K8" s="108">
        <f t="shared" ca="1" si="1"/>
        <v>0.46243322908194973</v>
      </c>
      <c r="L8" s="106" cm="1">
        <f t="array" aca="1" ref="L8" ca="1">MAX(INDEX(INDIRECT(ADDRESS(2,10,,,A8)&amp;":"&amp;ADDRESS(1000,10)),
MATCH(MIN(ABS(INDIRECT(ADDRESS(2,9,,,A8)&amp;":"&amp;ADDRESS(1000,9)) - C8)),ABS(INDIRECT(ADDRESS(2,9,,,A8)&amp;":"&amp;ADDRESS(1000,9)) - C8),0)),0) - (D8+H8)</f>
        <v>6.8702964480851296</v>
      </c>
      <c r="M8" s="18" cm="1">
        <f t="array" aca="1" ref="M8" ca="1">MIN(
MAX(INDEX(INDIRECT(ADDRESS(2,12,,,A8)&amp;":"&amp;ADDRESS(1000,12)),
MATCH(MIN(ABS(INDIRECT(ADDRESS(2,9,,,A8)&amp;":"&amp;ADDRESS(1000,9)) - C8)),ABS(INDIRECT(ADDRESS(2,9,,,A8)&amp;":"&amp;ADDRESS(1000,9)) - C8),0)),0) - (E8+I8),
MAX(INDEX(INDIRECT(ADDRESS(2,11,,,A8)&amp;":"&amp;ADDRESS(1000,11)),
MATCH(MIN(ABS(INDIRECT(ADDRESS(2,9,,,A8)&amp;":"&amp;ADDRESS(1000,9)) - C8)),ABS(INDIRECT(ADDRESS(2,9,,,A8)&amp;":"&amp;ADDRESS(1000,9)) - C8),0)),0) - (F8+J8)
)</f>
        <v>6.0380606565188621</v>
      </c>
      <c r="N8" s="19" cm="1">
        <f t="array" aca="1" ref="N8" ca="1">MAX(
MAX(INDEX(INDIRECT(ADDRESS(2,12,,,A8)&amp;":"&amp;ADDRESS(1000,12)),
MATCH(MIN(ABS(INDIRECT(ADDRESS(2,9,,,A8)&amp;":"&amp;ADDRESS(1000,9)) - C8)),ABS(INDIRECT(ADDRESS(2,9,,,A8)&amp;":"&amp;ADDRESS(1000,9)) - C8),0)),0) - (E8+I8),
MAX(INDEX(INDIRECT(ADDRESS(2,11,,,A8)&amp;":"&amp;ADDRESS(1000,11)),
MATCH(MIN(ABS(INDIRECT(ADDRESS(2,9,,,A8)&amp;":"&amp;ADDRESS(1000,9)) - C8)),ABS(INDIRECT(ADDRESS(2,9,,,A8)&amp;":"&amp;ADDRESS(1000,9)) - C8),0)),0) - (F8+J8)
)</f>
        <v>7.702532239651406</v>
      </c>
      <c r="O8" s="91">
        <f t="shared" ca="1" si="2"/>
        <v>8.2587057949051398E-3</v>
      </c>
      <c r="R8" s="105">
        <f t="shared" ca="1" si="3"/>
        <v>0.10996152841283086</v>
      </c>
      <c r="S8" s="105">
        <f t="shared" ca="1" si="4"/>
        <v>0.68697701678575773</v>
      </c>
      <c r="T8" s="105">
        <f t="shared" ca="1" si="5"/>
        <v>0.60079127221745354</v>
      </c>
    </row>
    <row r="9" spans="1:20" x14ac:dyDescent="0.2">
      <c r="A9" s="15" t="s">
        <v>54</v>
      </c>
      <c r="B9" s="10" t="s">
        <v>27</v>
      </c>
      <c r="C9" s="83">
        <f>INDEX(RESULTATS!$C$2:$C$10,MATCH(B9,RESULTATS!$B$2:$B$10,0))</f>
        <v>4</v>
      </c>
      <c r="D9" s="106" cm="1">
        <f t="array" aca="1" ref="D9" ca="1">MAX(INDEX(INDIRECT(ADDRESS(2,2,,,A9)&amp;":"&amp;ADDRESS(1000,2)),
MATCH(MIN(ABS(INDIRECT(ADDRESS(2,1,,,A9)&amp;":"&amp;ADDRESS(1000,1)) - C9)),ABS(INDIRECT(ADDRESS(2,1,,,A9)&amp;":"&amp;ADDRESS(1000,1)) - C9),0)),0)</f>
        <v>8.4180679999999999</v>
      </c>
      <c r="E9" s="18" cm="1">
        <f t="array" aca="1" ref="E9" ca="1">MAX(INDEX(INDIRECT(ADDRESS(2,3,,,A9)&amp;":"&amp;ADDRESS(1000,3)),
MATCH(MIN(ABS(INDIRECT(ADDRESS(2,1,,,A9)&amp;":"&amp;ADDRESS(1000,1)) - C9)),ABS(INDIRECT(ADDRESS(2,1,,,A9)&amp;":"&amp;ADDRESS(1000,1)) - C9),0)),0)</f>
        <v>5.0739039999999997</v>
      </c>
      <c r="F9" s="107" cm="1">
        <f t="array" aca="1" ref="F9" ca="1">MAX(INDEX(INDIRECT(ADDRESS(2,4,,,A9)&amp;":"&amp;ADDRESS(1000,4)),
MATCH(MIN(ABS(INDIRECT(ADDRESS(2,1,,,A9)&amp;":"&amp;ADDRESS(1000,1)) - C9)),ABS(INDIRECT(ADDRESS(2,1,,,A9)&amp;":"&amp;ADDRESS(1000,1)) - C9),0)),0)</f>
        <v>11.762231999999999</v>
      </c>
      <c r="G9" s="108">
        <f t="shared" ca="1" si="0"/>
        <v>0.42155172413793113</v>
      </c>
      <c r="H9" s="106" cm="1">
        <f t="array" aca="1" ref="H9" ca="1">MAX(INDEX(INDIRECT(ADDRESS(2,6,,,A9)&amp;":"&amp;ADDRESS(1000,6)),
MATCH(MIN(ABS(INDIRECT(ADDRESS(2,5,,,A9)&amp;":"&amp;ADDRESS(1000,5)) - C9)),ABS(INDIRECT(ADDRESS(2,5,,,A9)&amp;":"&amp;ADDRESS(1000,5)) - C9),0)),0)</f>
        <v>1.3644675204000001</v>
      </c>
      <c r="I9" s="18" cm="1">
        <f t="array" aca="1" ref="I9" ca="1">MAX(INDEX(INDIRECT(ADDRESS(2,7,,,A9)&amp;":"&amp;ADDRESS(1000,7)),
MATCH(MIN(ABS(INDIRECT(ADDRESS(2,5,,,A9)&amp;":"&amp;ADDRESS(1000,5)) - C9)),ABS(INDIRECT(ADDRESS(2,5,,,A9)&amp;":"&amp;ADDRESS(1000,5)) - C9),0)),0)</f>
        <v>0.57910540109999997</v>
      </c>
      <c r="J9" s="107" cm="1">
        <f t="array" aca="1" ref="J9" ca="1">MAX(INDEX(INDIRECT(ADDRESS(2,8,,,A9)&amp;":"&amp;ADDRESS(1000,8)),
MATCH(MIN(ABS(INDIRECT(ADDRESS(2,5,,,A9)&amp;":"&amp;ADDRESS(1000,5)) - C9)),ABS(INDIRECT(ADDRESS(2,5,,,A9)&amp;":"&amp;ADDRESS(1000,5)) - C9),0)),0)</f>
        <v>2.1498296397000001</v>
      </c>
      <c r="K9" s="108">
        <f t="shared" ca="1" si="1"/>
        <v>0.42855530974440637</v>
      </c>
      <c r="L9" s="106" cm="1">
        <f t="array" aca="1" ref="L9" ca="1">MAX(INDEX(INDIRECT(ADDRESS(2,10,,,A9)&amp;":"&amp;ADDRESS(1000,10)),
MATCH(MIN(ABS(INDIRECT(ADDRESS(2,9,,,A9)&amp;":"&amp;ADDRESS(1000,9)) - C9)),ABS(INDIRECT(ADDRESS(2,9,,,A9)&amp;":"&amp;ADDRESS(1000,9)) - C9),0)),0) - (D9+H9)</f>
        <v>7.7872764795999991</v>
      </c>
      <c r="M9" s="18" cm="1">
        <f t="array" aca="1" ref="M9" ca="1">MIN(MAX(INDEX(INDIRECT(ADDRESS(2,11,,,A9)&amp;":"&amp;ADDRESS(1000,11)),
MATCH(MIN(ABS(INDIRECT(ADDRESS(2,9,,,A9)&amp;":"&amp;ADDRESS(1000,9))-C9)),ABS(INDIRECT(ADDRESS(2,9,,,A9)&amp;":"&amp;ADDRESS(1000,9))-C9),0)),0)-(E9+I9),
MAX(INDEX(INDIRECT(ADDRESS(2,12,,,A9)&amp;":"&amp;ADDRESS(1000,12)),
MATCH(MIN(ABS(INDIRECT(ADDRESS(2,9,,,A9)&amp;":"&amp;ADDRESS(1000,9)) - C9)),ABS(INDIRECT(ADDRESS(2,9,,,A9)&amp;":"&amp;ADDRESS(1000,9)) - C9),0)),0) - (F9+J9))</f>
        <v>7.4587905989000012</v>
      </c>
      <c r="N9" s="19" cm="1">
        <f t="array" aca="1" ref="N9" ca="1">MAX(MAX(INDEX(INDIRECT(ADDRESS(2,11,,,A9)&amp;":"&amp;ADDRESS(1000,11)),
MATCH(MIN(ABS(INDIRECT(ADDRESS(2,9,,,A9)&amp;":"&amp;ADDRESS(1000,9))-C9)),ABS(INDIRECT(ADDRESS(2,9,,,A9)&amp;":"&amp;ADDRESS(1000,9))-C9),0)),0)-(E9+I9),
MAX(INDEX(INDIRECT(ADDRESS(2,12,,,A9)&amp;":"&amp;ADDRESS(1000,12)),
MATCH(MIN(ABS(INDIRECT(ADDRESS(2,9,,,A9)&amp;":"&amp;ADDRESS(1000,9)) - C9)),ABS(INDIRECT(ADDRESS(2,9,,,A9)&amp;":"&amp;ADDRESS(1000,9)) - C9),0)),0) - (F9+J9))</f>
        <v>8.0720563602999995</v>
      </c>
      <c r="O9" s="91">
        <f t="shared" ca="1" si="2"/>
        <v>2.2415047397543672E-2</v>
      </c>
      <c r="R9" s="105">
        <f t="shared" ca="1" si="3"/>
        <v>0.14951419846634317</v>
      </c>
      <c r="S9" s="105">
        <f t="shared" ca="1" si="4"/>
        <v>0.63664898995339159</v>
      </c>
      <c r="T9" s="105">
        <f t="shared" ca="1" si="5"/>
        <v>1.6306144300590701</v>
      </c>
    </row>
    <row r="10" spans="1:20" x14ac:dyDescent="0.2">
      <c r="A10" s="15" t="s">
        <v>55</v>
      </c>
      <c r="B10" s="76" t="s">
        <v>28</v>
      </c>
      <c r="C10" s="86" t="str">
        <f>INDEX(RESULTATS!$C$2:$C$10,MATCH(B10,RESULTATS!$B$2:$B$10,0))</f>
        <v>B</v>
      </c>
      <c r="D10" s="109">
        <f ca="1">MAX(INDEX(INDIRECT(ADDRESS(2,2,,,A10)&amp;":"&amp;ADDRESS(1000,2)),
MATCH(C10,INDIRECT(ADDRESS(2,1,,,A10)&amp;":"&amp;ADDRESS(1000,1)),0)),0)</f>
        <v>6.0252610000000004</v>
      </c>
      <c r="E10" s="79">
        <f ca="1">MAX(INDEX(INDIRECT(ADDRESS(2,3,,,A10)&amp;":"&amp;ADDRESS(1000,3)),
MATCH(C10,INDIRECT(ADDRESS(2,1,,,A10)&amp;":"&amp;ADDRESS(1000,1)),0)),0)</f>
        <v>4.4396659999999999</v>
      </c>
      <c r="F10" s="110">
        <f ca="1">MAX(INDEX(INDIRECT(ADDRESS(2,4,,,A10)&amp;":"&amp;ADDRESS(1000,4)),
MATCH(C10,INDIRECT(ADDRESS(2,1,,,A10)&amp;":"&amp;ADDRESS(1000,1)),0)),0)</f>
        <v>7.5820270000000001</v>
      </c>
      <c r="G10" s="108">
        <f t="shared" ca="1" si="0"/>
        <v>0.89724770642201845</v>
      </c>
      <c r="H10" s="109">
        <f ca="1">MAX(INDEX(INDIRECT(ADDRESS(2,6,,,A10)&amp;":"&amp;ADDRESS(1000,6)),
MATCH(C10,INDIRECT(ADDRESS(2,5,,,A10)&amp;":"&amp;ADDRESS(1000,5)),0)),0)</f>
        <v>1.6579866963000001</v>
      </c>
      <c r="I10" s="79">
        <f ca="1">MAX(INDEX(INDIRECT(ADDRESS(2,7,,,A10)&amp;":"&amp;ADDRESS(1000,7)),
MATCH(C10,INDIRECT(ADDRESS(2,5,,,A10)&amp;":"&amp;ADDRESS(1000,5)),0)),0)</f>
        <v>1.2613391613</v>
      </c>
      <c r="J10" s="110">
        <f ca="1">MAX(INDEX(INDIRECT(ADDRESS(2,8,,,A10)&amp;":"&amp;ADDRESS(1000,8)),
MATCH(C10,INDIRECT(ADDRESS(2,5,,,A10)&amp;":"&amp;ADDRESS(1000,5)),0)),0)</f>
        <v>2.0546342313000001</v>
      </c>
      <c r="K10" s="108">
        <f t="shared" ca="1" si="1"/>
        <v>0.84853951329392441</v>
      </c>
      <c r="L10" s="109">
        <f ca="1">MAX(INDEX(INDIRECT(ADDRESS(2,10,,,A10)&amp;":"&amp;ADDRESS(1000,10)),
MATCH(C10,INDIRECT(ADDRESS(2,9,,,A10)&amp;":"&amp;ADDRESS(1000,9)),0)),0) - (D10+H10)</f>
        <v>4.9040803036999989</v>
      </c>
      <c r="M10" s="79">
        <f ca="1">MIN(MAX(INDEX(INDIRECT(ADDRESS(2,11,,,A10)&amp;":"&amp;ADDRESS(1000,11)),
MATCH(C10,INDIRECT(ADDRESS(2,9,,,A10)&amp;":"&amp;ADDRESS(1000,9)),0)),0) - (E10+I10),
MAX(INDEX(INDIRECT(ADDRESS(2,12,,,A10)&amp;":"&amp;ADDRESS(1000,12)),
MATCH(C10,INDIRECT(ADDRESS(2,9,,,A10)&amp;":"&amp;ADDRESS(1000,9)),0)),0) - (F10+J10))</f>
        <v>4.7447288387000004</v>
      </c>
      <c r="N10" s="80">
        <f ca="1">MAX(MAX(INDEX(INDIRECT(ADDRESS(2,11,,,A10)&amp;":"&amp;ADDRESS(1000,11)),
MATCH(C10,INDIRECT(ADDRESS(2,9,,,A10)&amp;":"&amp;ADDRESS(1000,9)),0)),0) - (E10+I10),
MAX(INDEX(INDIRECT(ADDRESS(2,12,,,A10)&amp;":"&amp;ADDRESS(1000,12)),
MATCH(C10,INDIRECT(ADDRESS(2,9,,,A10)&amp;":"&amp;ADDRESS(1000,9)),0)),0) - (F10+J10))</f>
        <v>5.0485547687000007</v>
      </c>
      <c r="O10" s="91">
        <f t="shared" ca="1" si="2"/>
        <v>4.5244265718438363E-2</v>
      </c>
      <c r="R10" s="105">
        <f t="shared" ca="1" si="3"/>
        <v>0.31823205545129918</v>
      </c>
      <c r="S10" s="105">
        <f t="shared" ca="1" si="4"/>
        <v>1.2605650001077151</v>
      </c>
      <c r="T10" s="105">
        <f t="shared" ca="1" si="5"/>
        <v>3.2913583116490379</v>
      </c>
    </row>
    <row r="11" spans="1:20" ht="17" thickBot="1" x14ac:dyDescent="0.25">
      <c r="A11" s="15" t="s">
        <v>56</v>
      </c>
      <c r="B11" s="14" t="s">
        <v>57</v>
      </c>
      <c r="C11" s="87">
        <f>INDEX(RESULTATS!$C$2:$C$11,MATCH(B11,RESULTATS!$B$2:$B$11,0))</f>
        <v>0.6</v>
      </c>
      <c r="D11" s="111" cm="1">
        <f t="array" aca="1" ref="D11" ca="1">MAX(INDEX(INDIRECT(ADDRESS(2,2,,,A11)&amp;":"&amp;ADDRESS(1000,2)),
MATCH(MIN(ABS(INDIRECT(ADDRESS(2,1,,,A11)&amp;":"&amp;ADDRESS(1000,1)) - C11)),ABS(INDIRECT(ADDRESS(2,1,,,A11)&amp;":"&amp;ADDRESS(1000,1)) - C11),0)),0)</f>
        <v>4.7337217999999996</v>
      </c>
      <c r="E11" s="20" cm="1">
        <f t="array" aca="1" ref="E11" ca="1">MAX(INDEX(INDIRECT(ADDRESS(2,3,,,A11)&amp;":"&amp;ADDRESS(1000,3)),
MATCH(MIN(ABS(INDIRECT(ADDRESS(2,1,,,A11)&amp;":"&amp;ADDRESS(1000,1)) - C11)),ABS(INDIRECT(ADDRESS(2,1,,,A11)&amp;":"&amp;ADDRESS(1000,1)) - C11),0)),0)</f>
        <v>3.3326323999999996</v>
      </c>
      <c r="F11" s="112" cm="1">
        <f t="array" aca="1" ref="F11" ca="1">MAX(INDEX(INDIRECT(ADDRESS(2,4,,,A11)&amp;":"&amp;ADDRESS(1000,4)),
MATCH(MIN(ABS(INDIRECT(ADDRESS(2,1,,,A11)&amp;":"&amp;ADDRESS(1000,1)) - C11)),ABS(INDIRECT(ADDRESS(2,1,,,A11)&amp;":"&amp;ADDRESS(1000,1)) - C11),0)),0)</f>
        <v>6.1521086</v>
      </c>
      <c r="G11" s="92">
        <f t="shared" ca="1" si="0"/>
        <v>1</v>
      </c>
      <c r="H11" s="111" cm="1">
        <f t="array" aca="1" ref="H11" ca="1">MAX(INDEX(INDIRECT(ADDRESS(2,6,,,A11)&amp;":"&amp;ADDRESS(1000,6)),
MATCH(MIN(ABS(INDIRECT(ADDRESS(2,5,,,A11)&amp;":"&amp;ADDRESS(1000,5)) - C11)),ABS(INDIRECT(ADDRESS(2,5,,,A11)&amp;":"&amp;ADDRESS(1000,5)) - C11),0)),0)</f>
        <v>1.88169590604</v>
      </c>
      <c r="I11" s="20" cm="1">
        <f t="array" aca="1" ref="I11" ca="1">MAX(INDEX(INDIRECT(ADDRESS(2,7,,,A11)&amp;":"&amp;ADDRESS(1000,7)),
MATCH(MIN(ABS(INDIRECT(ADDRESS(2,5,,,A11)&amp;":"&amp;ADDRESS(1000,5)) - C11)),ABS(INDIRECT(ADDRESS(2,5,,,A11)&amp;":"&amp;ADDRESS(1000,5)) - C11),0)),0)</f>
        <v>1.51836676398</v>
      </c>
      <c r="J11" s="112" cm="1">
        <f t="array" aca="1" ref="J11" ca="1">MAX(INDEX(INDIRECT(ADDRESS(2,8,,,A11)&amp;":"&amp;ADDRESS(1000,8)),
MATCH(MIN(ABS(INDIRECT(ADDRESS(2,5,,,A11)&amp;":"&amp;ADDRESS(1000,5)) - C11)),ABS(INDIRECT(ADDRESS(2,5,,,A11)&amp;":"&amp;ADDRESS(1000,5)) - C11),0)),0)</f>
        <v>2.2481982283800002</v>
      </c>
      <c r="K11" s="92">
        <f t="shared" ca="1" si="1"/>
        <v>0.92232555792817861</v>
      </c>
      <c r="L11" s="111" cm="1">
        <f t="array" aca="1" ref="L11" ca="1">MAX(INDEX(INDIRECT(ADDRESS(2,10,,,A11)&amp;":"&amp;ADDRESS(1000,10)),
MATCH(MIN(ABS(INDIRECT(ADDRESS(2,9,,,A11)&amp;":"&amp;ADDRESS(1000,9)) - C11)),ABS(INDIRECT(ADDRESS(2,9,,,A11)&amp;":"&amp;ADDRESS(1000,9)) - C11),0)),0) - (D11+H11)</f>
        <v>4.9229662939599992</v>
      </c>
      <c r="M11" s="20" cm="1">
        <f t="array" aca="1" ref="M11" ca="1">MIN(
MAX(INDEX(INDIRECT(ADDRESS(2,11,,,A11)&amp;":"&amp;ADDRESS(1000,11)),
MATCH(MIN(ABS(INDIRECT(ADDRESS(2,9,,,A11)&amp;":"&amp;ADDRESS(1000,9)) - C11)),ABS(INDIRECT(ADDRESS(2,9,,,A11)&amp;":"&amp;ADDRESS(1000,9)) - C11),0)),0) - (E11+I11),
MAX(INDEX(INDIRECT(ADDRESS(2,12,,,A11)&amp;":"&amp;ADDRESS(1000,12)),
MATCH(MIN(ABS(INDIRECT(ADDRESS(2,9,,,A11)&amp;":"&amp;ADDRESS(1000,9)) - C11)),ABS(INDIRECT(ADDRESS(2,9,,,A11)&amp;":"&amp;ADDRESS(1000,9)) - C11),0)),0) - (F11+J11)
)</f>
        <v>4.7293560360200004</v>
      </c>
      <c r="N11" s="21" cm="1">
        <f t="array" aca="1" ref="N11" ca="1">MAX(
MAX(INDEX(INDIRECT(ADDRESS(2,11,,,A11)&amp;":"&amp;ADDRESS(1000,11)),
MATCH(MIN(ABS(INDIRECT(ADDRESS(2,9,,,A11)&amp;":"&amp;ADDRESS(1000,9)) - C11)),ABS(INDIRECT(ADDRESS(2,9,,,A11)&amp;":"&amp;ADDRESS(1000,9)) - C11),0)),0) - (E11+I11),
MAX(INDEX(INDIRECT(ADDRESS(2,12,,,A11)&amp;":"&amp;ADDRESS(1000,12)),
MATCH(MIN(ABS(INDIRECT(ADDRESS(2,9,,,A11)&amp;":"&amp;ADDRESS(1000,9)) - C11)),ABS(INDIRECT(ADDRESS(2,9,,,A11)&amp;":"&amp;ADDRESS(1000,9)) - C11),0)),0) - (F11+J11)
)</f>
        <v>5.0786235716199997</v>
      </c>
      <c r="O11" s="113">
        <f t="shared" ca="1" si="2"/>
        <v>3.9357740722901879E-2</v>
      </c>
      <c r="R11" s="105">
        <f t="shared" ca="1" si="3"/>
        <v>0.35467580822281808</v>
      </c>
      <c r="S11" s="105">
        <f t="shared" ca="1" si="4"/>
        <v>1.3701793479431685</v>
      </c>
      <c r="T11" s="105">
        <f t="shared" ca="1" si="5"/>
        <v>2.8631346978244667</v>
      </c>
    </row>
    <row r="12" spans="1:20" x14ac:dyDescent="0.2">
      <c r="G12" s="40">
        <f ca="1">MAX(R2:R11)</f>
        <v>0.35467580822281808</v>
      </c>
      <c r="H12" s="40"/>
      <c r="I12" s="40"/>
      <c r="J12" s="40"/>
      <c r="K12" s="40">
        <f ca="1">MAX(S2:S11)</f>
        <v>1.4855701830718044</v>
      </c>
      <c r="L12" s="40"/>
      <c r="M12" s="40"/>
      <c r="N12" s="40"/>
      <c r="O12" s="40">
        <f ca="1">MAX(T2:T11)</f>
        <v>72.746419007695664</v>
      </c>
    </row>
    <row r="14" spans="1:20" x14ac:dyDescent="0.2">
      <c r="B14" s="145" t="s">
        <v>58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</row>
  </sheetData>
  <mergeCells count="1">
    <mergeCell ref="B14:T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3287-D365-6846-BC78-50034013685E}">
  <sheetPr>
    <tabColor theme="2"/>
  </sheetPr>
  <dimension ref="A1:M12"/>
  <sheetViews>
    <sheetView workbookViewId="0">
      <selection activeCell="A6" sqref="A6:XFD8"/>
    </sheetView>
  </sheetViews>
  <sheetFormatPr baseColWidth="10" defaultColWidth="11" defaultRowHeight="16" x14ac:dyDescent="0.2"/>
  <cols>
    <col min="1" max="1" width="29.6640625" bestFit="1" customWidth="1"/>
    <col min="2" max="2" width="24.5" bestFit="1" customWidth="1"/>
    <col min="4" max="4" width="24.5" bestFit="1" customWidth="1"/>
    <col min="6" max="6" width="24.5" bestFit="1" customWidth="1"/>
  </cols>
  <sheetData>
    <row r="1" spans="1:13" ht="17" thickBot="1" x14ac:dyDescent="0.25">
      <c r="B1" s="5" t="s">
        <v>29</v>
      </c>
      <c r="C1" s="5" t="s">
        <v>32</v>
      </c>
      <c r="D1" s="5" t="s">
        <v>33</v>
      </c>
      <c r="E1" s="5" t="s">
        <v>36</v>
      </c>
      <c r="F1" s="5" t="s">
        <v>37</v>
      </c>
      <c r="G1" s="5" t="s">
        <v>40</v>
      </c>
    </row>
    <row r="2" spans="1:13" x14ac:dyDescent="0.2">
      <c r="A2" s="8" t="s">
        <v>17</v>
      </c>
      <c r="B2" s="17">
        <f>INDEX('enquêtes TIM'!$G$2:$G$13,MATCH(A2,'enquêtes TIM'!$A$2:$A$13,0))</f>
        <v>11.033220621525837</v>
      </c>
      <c r="C2" s="18">
        <f>INDEX('enquêtes TIM'!$E$2:$E$13,MATCH(A2,'enquêtes TIM'!$A$2:$A$13,0))</f>
        <v>0.35195128871846959</v>
      </c>
      <c r="D2" s="17">
        <f>INDEX('enquêtes MD'!$G$2:$G$13,MATCH(A2,'enquêtes MD'!$A$2:$A$13,0))</f>
        <v>2.0359612941768157</v>
      </c>
      <c r="E2" s="18">
        <f>INDEX('enquêtes MD'!$E$2:$E$13,MATCH(A2,'enquêtes TIM'!$A$2:$A$13,0))</f>
        <v>7.8173262003045224E-2</v>
      </c>
      <c r="F2" s="17">
        <f>INDEX('enquêtes TC'!$G$2:$G$13,MATCH(A2,'enquêtes TC'!$A$2:$A$13,0))</f>
        <v>4.6321463548720416</v>
      </c>
      <c r="G2" s="18">
        <f>INDEX('enquêtes TC'!$E$2:$E$13,MATCH(A2,'enquêtes TC'!$A$2:$A$13,0))</f>
        <v>0.56277658753296589</v>
      </c>
    </row>
    <row r="3" spans="1:13" x14ac:dyDescent="0.2">
      <c r="A3" s="10" t="s">
        <v>18</v>
      </c>
      <c r="B3" s="17">
        <f>INDEX('enquêtes TIM'!$G$2:$G$13,MATCH(A3,'enquêtes TIM'!$A$2:$A$13,0))</f>
        <v>13.28487983351115</v>
      </c>
      <c r="C3" s="18">
        <f>INDEX('enquêtes TIM'!$E$2:$E$13,MATCH(A3,'enquêtes TIM'!$A$2:$A$13,0))</f>
        <v>0.48449093002591037</v>
      </c>
      <c r="D3" s="17">
        <f>INDEX('enquêtes MD'!$G$2:$G$13,MATCH(A3,'enquêtes MD'!$A$2:$A$13,0))</f>
        <v>1.8907335314737737</v>
      </c>
      <c r="E3" s="18">
        <f>INDEX('enquêtes MD'!$E$2:$E$13,MATCH(A3,'enquêtes TIM'!$A$2:$A$13,0))</f>
        <v>0.13181108797267096</v>
      </c>
      <c r="F3" s="17">
        <f>INDEX('enquêtes TC'!$G$2:$G$13,MATCH(A3,'enquêtes TC'!$A$2:$A$13,0))</f>
        <v>4.5702512787383904</v>
      </c>
      <c r="G3" s="18">
        <f>INDEX('enquêtes TC'!$E$2:$E$13,MATCH(A3,'enquêtes TC'!$A$2:$A$13,0))</f>
        <v>0.50023994504586233</v>
      </c>
    </row>
    <row r="4" spans="1:13" x14ac:dyDescent="0.2">
      <c r="A4" s="10" t="s">
        <v>19</v>
      </c>
      <c r="B4" s="17">
        <f>INDEX('enquêtes TIM'!$G$2:$G$13,MATCH(A4,'enquêtes TIM'!$A$2:$A$13,0))</f>
        <v>11.830884780112218</v>
      </c>
      <c r="C4" s="18">
        <f>INDEX('enquêtes TIM'!$E$2:$E$13,MATCH(A4,'enquêtes TIM'!$A$2:$A$13,0))</f>
        <v>0.28425380061956018</v>
      </c>
      <c r="D4" s="17">
        <f>INDEX('enquêtes MD'!$G$2:$G$13,MATCH(A4,'enquêtes MD'!$A$2:$A$13,0))</f>
        <v>1.9931112816505507</v>
      </c>
      <c r="E4" s="18">
        <f>INDEX('enquêtes MD'!$E$2:$E$13,MATCH(A4,'enquêtes TIM'!$A$2:$A$13,0))</f>
        <v>7.5656656595626912E-2</v>
      </c>
      <c r="F4" s="17">
        <f>INDEX('enquêtes TC'!$G$2:$G$13,MATCH(A4,'enquêtes TC'!$A$2:$A$13,0))</f>
        <v>4.7773714185547602</v>
      </c>
      <c r="G4" s="18">
        <f>INDEX('enquêtes TC'!$E$2:$E$13,MATCH(A4,'enquêtes TC'!$A$2:$A$13,0))</f>
        <v>0.58913631634972674</v>
      </c>
    </row>
    <row r="5" spans="1:13" x14ac:dyDescent="0.2">
      <c r="A5" s="10" t="s">
        <v>20</v>
      </c>
      <c r="B5" s="17">
        <f>INDEX('enquêtes TIM'!$G$2:$G$13,MATCH(A5,'enquêtes TIM'!$A$2:$A$13,0))</f>
        <v>11.735403988225261</v>
      </c>
      <c r="C5" s="18">
        <f>INDEX('enquêtes TIM'!$E$2:$E$13,MATCH(A5,'enquêtes TIM'!$A$2:$A$13,0))</f>
        <v>0.32344373193671422</v>
      </c>
      <c r="D5" s="17">
        <f>INDEX('enquêtes MD'!$G$2:$G$13,MATCH(A5,'enquêtes MD'!$A$2:$A$13,0))</f>
        <v>2.0795035312194203</v>
      </c>
      <c r="E5" s="18">
        <f>INDEX('enquêtes MD'!$E$2:$E$13,MATCH(A5,'enquêtes TIM'!$A$2:$A$13,0))</f>
        <v>5.2515953231355446E-2</v>
      </c>
      <c r="F5" s="17">
        <f>INDEX('enquêtes TC'!$G$2:$G$13,MATCH(A5,'enquêtes TC'!$A$2:$A$13,0))</f>
        <v>4.786667436124949</v>
      </c>
      <c r="G5" s="18">
        <f>INDEX('enquêtes TC'!$E$2:$E$13,MATCH(A5,'enquêtes TC'!$A$2:$A$13,0))</f>
        <v>0.62837306839497142</v>
      </c>
    </row>
    <row r="6" spans="1:13" x14ac:dyDescent="0.2">
      <c r="A6" s="10" t="s">
        <v>24</v>
      </c>
      <c r="B6" s="17">
        <f>INDEX('enquêtes TIM'!$G$2:$G$13,MATCH(A6,'enquêtes TIM'!$A$2:$A$13,0))</f>
        <v>14.24963977554572</v>
      </c>
      <c r="C6" s="18">
        <f>INDEX('enquêtes TIM'!$E$2:$E$13,MATCH(A6,'enquêtes TIM'!$A$2:$A$13,0))</f>
        <v>0.3882753356108421</v>
      </c>
      <c r="D6" s="17">
        <f>INDEX('enquêtes MD'!$G$2:$G$13,MATCH(A6,'enquêtes MD'!$A$2:$A$13,0))</f>
        <v>1.5798526210146178</v>
      </c>
      <c r="E6" s="18">
        <f>INDEX('enquêtes MD'!$E$2:$E$13,MATCH(A6,'enquêtes TIM'!$A$2:$A$13,0))</f>
        <v>0.28662294280144496</v>
      </c>
      <c r="F6" s="17">
        <f>INDEX('enquêtes TC'!$G$2:$G$13,MATCH(A6,'enquêtes TC'!$A$2:$A$13,0))</f>
        <v>4.3408303684867944</v>
      </c>
      <c r="G6" s="18">
        <f>INDEX('enquêtes TC'!$E$2:$E$13,MATCH(A6,'enquêtes TC'!$A$2:$A$13,0))</f>
        <v>0.50391217475426797</v>
      </c>
    </row>
    <row r="7" spans="1:13" x14ac:dyDescent="0.2">
      <c r="A7" s="10" t="s">
        <v>25</v>
      </c>
      <c r="B7" s="17">
        <f>INDEX('enquêtes TIM'!$G$2:$G$13,MATCH(A7,'enquêtes TIM'!$A$2:$A$13,0))</f>
        <v>11.72558161854451</v>
      </c>
      <c r="C7" s="18">
        <f>INDEX('enquêtes TIM'!$E$2:$E$13,MATCH(A7,'enquêtes TIM'!$A$2:$A$13,0))</f>
        <v>0.40428276384083323</v>
      </c>
      <c r="D7" s="17">
        <f>INDEX('enquêtes MD'!$G$2:$G$13,MATCH(A7,'enquêtes MD'!$A$2:$A$13,0))</f>
        <v>1.9789687743316162</v>
      </c>
      <c r="E7" s="18">
        <f>INDEX('enquêtes MD'!$E$2:$E$13,MATCH(A7,'enquêtes TIM'!$A$2:$A$13,0))</f>
        <v>0.10891563482096711</v>
      </c>
      <c r="F7" s="17">
        <f>INDEX('enquêtes TC'!$G$2:$G$13,MATCH(A7,'enquêtes TC'!$A$2:$A$13,0))</f>
        <v>4.6259915125764035</v>
      </c>
      <c r="G7" s="18">
        <f>INDEX('enquêtes TC'!$E$2:$E$13,MATCH(A7,'enquêtes TC'!$A$2:$A$13,0))</f>
        <v>0.53358489069630377</v>
      </c>
    </row>
    <row r="8" spans="1:13" x14ac:dyDescent="0.2">
      <c r="A8" s="10" t="s">
        <v>26</v>
      </c>
      <c r="B8" s="17">
        <f>INDEX('enquêtes TIM'!$G$2:$G$13,MATCH(A8,'enquêtes TIM'!$A$2:$A$13,0))</f>
        <v>11.490391276058471</v>
      </c>
      <c r="C8" s="18">
        <f>INDEX('enquêtes TIM'!$E$2:$E$13,MATCH(A8,'enquêtes TIM'!$A$2:$A$13,0))</f>
        <v>0.33892295722357968</v>
      </c>
      <c r="D8" s="17">
        <f>INDEX('enquêtes MD'!$G$2:$G$13,MATCH(A8,'enquêtes MD'!$A$2:$A$13,0))</f>
        <v>2.0058012808918404</v>
      </c>
      <c r="E8" s="18">
        <f>INDEX('enquêtes MD'!$E$2:$E$13,MATCH(A8,'enquêtes TIM'!$A$2:$A$13,0))</f>
        <v>8.3888367317648774E-2</v>
      </c>
      <c r="F8" s="17">
        <f>INDEX('enquêtes TC'!$G$2:$G$13,MATCH(A8,'enquêtes TC'!$A$2:$A$13,0))</f>
        <v>4.750837006208676</v>
      </c>
      <c r="G8" s="18">
        <f>INDEX('enquêtes TC'!$E$2:$E$13,MATCH(A8,'enquêtes TC'!$A$2:$A$13,0))</f>
        <v>0.62746941428639891</v>
      </c>
    </row>
    <row r="9" spans="1:13" x14ac:dyDescent="0.2">
      <c r="A9" s="10" t="s">
        <v>27</v>
      </c>
      <c r="B9" s="17">
        <f>INDEX('enquêtes TIM'!$G$2:$G$13,MATCH(A9,'enquêtes TIM'!$A$2:$A$13,0))</f>
        <v>13.205780551618995</v>
      </c>
      <c r="C9" s="18">
        <f>INDEX('enquêtes TIM'!$E$2:$E$13,MATCH(A9,'enquêtes TIM'!$A$2:$A$13,0))</f>
        <v>0.28650918809286691</v>
      </c>
      <c r="D9" s="17">
        <f>INDEX('enquêtes MD'!$G$2:$G$13,MATCH(A9,'enquêtes MD'!$A$2:$A$13,0))</f>
        <v>1.7589917938807327</v>
      </c>
      <c r="E9" s="18">
        <f>INDEX('enquêtes MD'!$E$2:$E$13,MATCH(A9,'enquêtes TIM'!$A$2:$A$13,0))</f>
        <v>0.15396205291468759</v>
      </c>
      <c r="F9" s="17">
        <f>INDEX('enquêtes TC'!$G$2:$G$13,MATCH(A9,'enquêtes TC'!$A$2:$A$13,0))</f>
        <v>4.7012111692978502</v>
      </c>
      <c r="G9" s="18">
        <f>INDEX('enquêtes TC'!$E$2:$E$13,MATCH(A9,'enquêtes TC'!$A$2:$A$13,0))</f>
        <v>0.51582919702042374</v>
      </c>
    </row>
    <row r="10" spans="1:13" ht="17" thickBot="1" x14ac:dyDescent="0.25">
      <c r="A10" s="14" t="s">
        <v>28</v>
      </c>
      <c r="B10" s="17">
        <f>INDEX('enquêtes TIM'!$G$2:$G$13,MATCH(A10,'enquêtes TIM'!$A$2:$A$13,0))</f>
        <v>9.3387024631728828</v>
      </c>
      <c r="C10" s="18">
        <f>INDEX('enquêtes TIM'!$E$2:$E$13,MATCH(A10,'enquêtes TIM'!$A$2:$A$13,0))</f>
        <v>0.12757888751663712</v>
      </c>
      <c r="D10" s="17">
        <f>INDEX('enquêtes MD'!$G$2:$G$13,MATCH(A10,'enquêtes MD'!$A$2:$A$13,0))</f>
        <v>2.1185688315652569</v>
      </c>
      <c r="E10" s="18">
        <f>INDEX('enquêtes MD'!$E$2:$E$13,MATCH(A10,'enquêtes TIM'!$A$2:$A$13,0))</f>
        <v>7.7642772838517934E-2</v>
      </c>
      <c r="F10" s="17">
        <f>INDEX('enquêtes TC'!$G$2:$G$13,MATCH(A10,'enquêtes TC'!$A$2:$A$13,0))</f>
        <v>4.550204664318521</v>
      </c>
      <c r="G10" s="18">
        <f>INDEX('enquêtes TC'!$E$2:$E$13,MATCH(A10,'enquêtes TC'!$A$2:$A$13,0))</f>
        <v>0.79214905292971449</v>
      </c>
    </row>
    <row r="12" spans="1:13" x14ac:dyDescent="0.2">
      <c r="A12" s="145" t="s">
        <v>58</v>
      </c>
      <c r="B12" s="145"/>
      <c r="C12" s="145"/>
      <c r="D12" s="145"/>
      <c r="E12" s="145"/>
      <c r="F12" s="145"/>
      <c r="G12" s="145"/>
      <c r="H12" s="2"/>
      <c r="I12" s="2"/>
      <c r="J12" s="2"/>
      <c r="K12" s="2"/>
      <c r="L12" s="2"/>
      <c r="M12" s="2"/>
    </row>
  </sheetData>
  <mergeCells count="1">
    <mergeCell ref="A12:G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160B-FF46-E743-B28B-F2D1593F0FFA}">
  <sheetPr>
    <tabColor theme="9"/>
  </sheetPr>
  <dimension ref="A1:AE47"/>
  <sheetViews>
    <sheetView tabSelected="1" zoomScaleNormal="140" workbookViewId="0">
      <selection activeCell="Q6" sqref="Q6"/>
    </sheetView>
  </sheetViews>
  <sheetFormatPr baseColWidth="10" defaultColWidth="10.83203125" defaultRowHeight="13" x14ac:dyDescent="0.15"/>
  <cols>
    <col min="1" max="1" width="9.6640625" style="3" customWidth="1"/>
    <col min="2" max="2" width="34.1640625" style="3" bestFit="1" customWidth="1"/>
    <col min="3" max="3" width="15.33203125" style="3" bestFit="1" customWidth="1"/>
    <col min="4" max="4" width="24.5" style="3" bestFit="1" customWidth="1"/>
    <col min="5" max="5" width="23.5" style="3" bestFit="1" customWidth="1"/>
    <col min="6" max="6" width="26.33203125" style="3" bestFit="1" customWidth="1"/>
    <col min="7" max="7" width="32.33203125" style="3" bestFit="1" customWidth="1"/>
    <col min="8" max="8" width="23.1640625" style="3" bestFit="1" customWidth="1"/>
    <col min="9" max="9" width="23.5" style="3" bestFit="1" customWidth="1"/>
    <col min="10" max="10" width="24.1640625" style="3" bestFit="1" customWidth="1"/>
    <col min="11" max="11" width="22.83203125" style="3" bestFit="1" customWidth="1"/>
    <col min="12" max="12" width="23.1640625" style="3" bestFit="1" customWidth="1"/>
    <col min="13" max="13" width="10.83203125" style="3"/>
    <col min="14" max="16" width="25" style="3" hidden="1" customWidth="1"/>
    <col min="17" max="17" width="43.1640625" style="3" bestFit="1" customWidth="1"/>
    <col min="18" max="20" width="10.83203125" style="3"/>
    <col min="21" max="31" width="0" style="3" hidden="1" customWidth="1"/>
    <col min="32" max="16384" width="10.83203125" style="3"/>
  </cols>
  <sheetData>
    <row r="1" spans="1:31" ht="14" thickBot="1" x14ac:dyDescent="0.2">
      <c r="D1" s="5" t="s">
        <v>29</v>
      </c>
      <c r="E1" s="5" t="s">
        <v>30</v>
      </c>
      <c r="F1" s="75" t="s">
        <v>31</v>
      </c>
      <c r="G1" s="5" t="s">
        <v>33</v>
      </c>
      <c r="H1" s="6" t="s">
        <v>34</v>
      </c>
      <c r="I1" s="7" t="s">
        <v>35</v>
      </c>
      <c r="J1" s="5" t="s">
        <v>37</v>
      </c>
      <c r="K1" s="6" t="s">
        <v>38</v>
      </c>
      <c r="L1" s="7" t="s">
        <v>39</v>
      </c>
      <c r="N1" s="3" t="s">
        <v>59</v>
      </c>
      <c r="O1" s="3" t="s">
        <v>60</v>
      </c>
      <c r="U1" s="4" t="s">
        <v>32</v>
      </c>
      <c r="V1" s="4" t="s">
        <v>36</v>
      </c>
      <c r="W1" s="4" t="s">
        <v>40</v>
      </c>
      <c r="Y1" s="4" t="s">
        <v>108</v>
      </c>
      <c r="Z1" s="4" t="s">
        <v>109</v>
      </c>
      <c r="AA1" s="4" t="s">
        <v>110</v>
      </c>
      <c r="AC1" s="4" t="s">
        <v>111</v>
      </c>
      <c r="AD1" s="4" t="s">
        <v>112</v>
      </c>
      <c r="AE1" s="4" t="s">
        <v>113</v>
      </c>
    </row>
    <row r="2" spans="1:31" x14ac:dyDescent="0.15">
      <c r="A2" s="15"/>
      <c r="B2" s="8" t="s">
        <v>17</v>
      </c>
      <c r="C2" s="9">
        <v>25676</v>
      </c>
      <c r="D2" s="17">
        <f ca="1">IF(AND(C2&gt;=N2,C2&lt;=O2),
((INDEX(Calculs_enquete!$B$2:$B$10,MATCH(B2,Calculs_enquete!$A$2:$A$10,0))*Y2) + (INDEX(Calculs_modele!$D$2:$D$10,MATCH(B2,Calculs_modele!$B$2:$B$10,0)) * AC2))/(Y2+AC2),
INDEX(Calculs_modele!$D$2:$D$10,MATCH(B2,Calculs_modele!$B$2:$B$10,0))
)</f>
        <v>8.5646136754958295</v>
      </c>
      <c r="E2" s="18">
        <f ca="1">MAX(D2- (F2-D2),0)</f>
        <v>6.096006729465822</v>
      </c>
      <c r="F2" s="19">
        <f ca="1">MAX(D2,INDEX(Calculs_modele!$F$2:$F$10,MATCH(B2,Calculs_modele!$B$2:$B$10,0)),INDEX(Calculs_enquete!$B$2:$B$10,MATCH(B2,Calculs_enquete!$A$2:$A$10,0)))</f>
        <v>11.033220621525837</v>
      </c>
      <c r="G2" s="17">
        <f ca="1">IF(AND(C2&gt;=N2,C2&lt;=O2),
((INDEX(Calculs_enquete!$D$2:$D$10,MATCH(B2,Calculs_enquete!$A$2:$A$10,0))*Z2) + (INDEX(Calculs_modele!$H$2:$H$10,MATCH(B2,Calculs_modele!$B$2:$B$10,0))*AD2)) / (Z2+AD2),
INDEX(Calculs_modele!$H$2:$H$10,MATCH(B2,Calculs_modele!$B$2:$B$10,0))
)</f>
        <v>1.6120973889262464</v>
      </c>
      <c r="H2" s="18">
        <f ca="1">MIN(G2, INDEX(Calculs_modele!$I$2:$I$10,MATCH(B2,Calculs_modele!$B$2:$B$10,0)))</f>
        <v>1.2423914585093201</v>
      </c>
      <c r="I2" s="19">
        <f ca="1">MAX(H2,INDEX(Calculs_modele!$J$2:$J$10,MATCH(B2,Calculs_modele!$B$2:$B$10,0)))</f>
        <v>1.9155336711055899</v>
      </c>
      <c r="J2" s="17">
        <f ca="1">IF(AND(C2&gt;=N2,C2&lt;=O2),
((INDEX(Calculs_enquete!$F$2:$F$10,MATCH(B2,Calculs_enquete!$A$2:$A$10,0))*AA2) + (INDEX(Calculs_modele!$L$2:$L$10,MATCH(B2,Calculs_modele!$B$2:$B$10,0)) *AE2)) / (AA2+AE2),
INDEX(Calculs_modele!$L$2:$L$10,MATCH(B2,Calculs_modele!$B$2:$B$10,0))
)</f>
        <v>4.6484057843417146</v>
      </c>
      <c r="K2" s="18">
        <f ca="1">MAX(J2-(L2-J2),0)</f>
        <v>3.811209694016239</v>
      </c>
      <c r="L2" s="19">
        <f ca="1">MAX(J2,INDEX(Calculs_modele!$N$2:$N$10,MATCH(B2,Calculs_modele!$B$2:$B$10,0)))</f>
        <v>5.4856018746671902</v>
      </c>
      <c r="N2" s="4">
        <v>19370</v>
      </c>
      <c r="O2" s="4">
        <v>43803</v>
      </c>
      <c r="Q2" s="4" t="s">
        <v>61</v>
      </c>
      <c r="R2" s="4">
        <v>0.22900000000000001</v>
      </c>
      <c r="U2" s="74">
        <f ca="1">IF(AND(C2&gt;=N2,C2&lt;=O2),
AVERAGE(Y2,AC2),
AC2)</f>
        <v>0.89897713168638715</v>
      </c>
      <c r="V2" s="74">
        <f ca="1">IF(AND(D2&gt;=O2,D2&lt;=P2),
AVERAGE(Z2,AD2),
AD2)</f>
        <v>1</v>
      </c>
      <c r="W2" s="74">
        <f ca="1">IF(AND(E2&gt;=P2,E2&lt;=Q2),
AVERAGE(AA2,AE2),
AE2)</f>
        <v>0.29095810481307005</v>
      </c>
      <c r="Y2" s="74">
        <f ca="1">INDEX(Calculs_modele!$G$2:$G$10,MATCH(B2,Calculs_modele!$B$2:$B$10,0))</f>
        <v>0.89897713168638715</v>
      </c>
      <c r="Z2" s="74">
        <f>INDEX(Calculs_enquete!$E$2:$E$10,MATCH(B2,Calculs_enquete!$A$2:$A$10,0))</f>
        <v>7.8173262003045224E-2</v>
      </c>
      <c r="AA2" s="74">
        <f>INDEX(Calculs_enquete!$G$2:$G$10,MATCH(B2,Calculs_enquete!$A$2:$A$10,0))</f>
        <v>0.56277658753296589</v>
      </c>
      <c r="AC2" s="74">
        <f ca="1">INDEX(Calculs_modele!$G$2:$G$10,MATCH(B2,Calculs_modele!$B$2:$B$10,0))</f>
        <v>0.89897713168638715</v>
      </c>
      <c r="AD2" s="74">
        <f ca="1">INDEX(Calculs_modele!$K$2:$K$10,MATCH(B2,Calculs_modele!$B$2:$B$10,0))</f>
        <v>1</v>
      </c>
      <c r="AE2" s="74">
        <f ca="1">INDEX(Calculs_modele!$O$2:$O$10,MATCH(B2,Calculs_modele!$B$2:$B$10,0))</f>
        <v>1.9139622093174262E-2</v>
      </c>
    </row>
    <row r="3" spans="1:31" x14ac:dyDescent="0.15">
      <c r="A3" s="15"/>
      <c r="B3" s="10" t="s">
        <v>18</v>
      </c>
      <c r="C3" s="115">
        <v>13868</v>
      </c>
      <c r="D3" s="17">
        <f ca="1">IF(AND(C3&gt;=N3,C3&lt;=O3),
((INDEX(Calculs_enquete!$B$2:$B$10,MATCH(B3,Calculs_enquete!$A$2:$A$10,0))*Y3) + (INDEX(Calculs_modele!$D$2:$D$10,MATCH(B3,Calculs_modele!$B$2:$B$10,0)) * AC3))/(Y3+AC3),
INDEX(Calculs_modele!$D$2:$D$10,MATCH(B3,Calculs_modele!$B$2:$B$10,0))
)</f>
        <v>9.6719036923611998</v>
      </c>
      <c r="E3" s="18">
        <f t="shared" ref="E3:E10" ca="1" si="0">MAX(D3- (F3-D3),0)</f>
        <v>6.0589275512112497</v>
      </c>
      <c r="F3" s="19">
        <f ca="1">MAX(D3,INDEX(Calculs_modele!$F$2:$F$10,MATCH(B3,Calculs_modele!$B$2:$B$10,0)),INDEX(Calculs_enquete!$B$2:$B$10,MATCH(B3,Calculs_enquete!$A$2:$A$10,0)))</f>
        <v>13.28487983351115</v>
      </c>
      <c r="G3" s="17">
        <f ca="1">IF(AND(C3&gt;=N3,C3&lt;=O3),
((INDEX(Calculs_enquete!$D$2:$D$10,MATCH(B3,Calculs_enquete!$A$2:$A$10,0))*Z3) + (INDEX(Calculs_modele!$H$2:$H$10,MATCH(B3,Calculs_modele!$B$2:$B$10,0))*AD3)) / (Z3+AD3),
INDEX(Calculs_modele!$H$2:$H$10,MATCH(B3,Calculs_modele!$B$2:$B$10,0))
)</f>
        <v>1.4594537231608491</v>
      </c>
      <c r="H3" s="18">
        <f ca="1">MIN(G3, INDEX(Calculs_modele!$I$2:$I$10,MATCH(B3,Calculs_modele!$B$2:$B$10,0)))</f>
        <v>0.66093965519081399</v>
      </c>
      <c r="I3" s="19">
        <f ca="1">MAX(H3,INDEX(Calculs_modele!$J$2:$J$10,MATCH(B3,Calculs_modele!$B$2:$B$10,0)))</f>
        <v>2.0272034045853902</v>
      </c>
      <c r="J3" s="17">
        <f ca="1">IF(AND(C3&gt;=N3,C3&lt;=O3),
((INDEX(Calculs_enquete!$F$2:$F$10,MATCH(B3,Calculs_enquete!$A$2:$A$10,0))*AA3) + (INDEX(Calculs_modele!$L$2:$L$10,MATCH(B3,Calculs_modele!$B$2:$B$10,0)) *AE3)) / (AA3+AE3),
INDEX(Calculs_modele!$L$2:$L$10,MATCH(B3,Calculs_modele!$B$2:$B$10,0))
)</f>
        <v>4.7384073230490102</v>
      </c>
      <c r="K3" s="18">
        <f t="shared" ref="K3:K10" ca="1" si="1">MAX(J3-(L3-J3),0)</f>
        <v>4.6436192656736779</v>
      </c>
      <c r="L3" s="19">
        <f ca="1">MAX(J3,INDEX(Calculs_modele!$N$2:$N$10,MATCH(B3,Calculs_modele!$B$2:$B$10,0)))</f>
        <v>4.8331953804243426</v>
      </c>
      <c r="N3" s="4">
        <v>13868</v>
      </c>
      <c r="O3" s="4">
        <v>119685</v>
      </c>
      <c r="Q3" s="4" t="s">
        <v>62</v>
      </c>
      <c r="R3" s="4">
        <f xml:space="preserve"> 0.15 * 0.0065</f>
        <v>9.7499999999999996E-4</v>
      </c>
      <c r="U3" s="74">
        <f t="shared" ref="U3:U11" ca="1" si="2">IF(AND(C3&gt;=N3,C3&lt;=O3),
AVERAGE(Y3,AC3),
AC3)</f>
        <v>0.27417297435837096</v>
      </c>
      <c r="V3" s="74">
        <f t="shared" ref="V3:V11" ca="1" si="3">IF(AND(D3&gt;=O3,D3&lt;=P3),
AVERAGE(Z3,AD3),
AD3)</f>
        <v>0.49268833553884095</v>
      </c>
      <c r="W3" s="74">
        <f t="shared" ref="W3:W11" ca="1" si="4">IF(AND(E3&gt;=P3,E3&lt;=Q3),
AVERAGE(AA3,AE3),
AE3)</f>
        <v>0.73009373419254353</v>
      </c>
      <c r="Y3" s="74">
        <f ca="1">INDEX(Calculs_modele!$G$2:$G$10,MATCH(B3,Calculs_modele!$B$2:$B$10,0))</f>
        <v>0.27417297435837096</v>
      </c>
      <c r="Z3" s="74">
        <f>INDEX(Calculs_enquete!$E$2:$E$10,MATCH(B3,Calculs_enquete!$A$2:$A$10,0))</f>
        <v>0.13181108797267096</v>
      </c>
      <c r="AA3" s="74">
        <f>INDEX(Calculs_enquete!$G$2:$G$10,MATCH(B3,Calculs_enquete!$A$2:$A$10,0))</f>
        <v>0.50023994504586233</v>
      </c>
      <c r="AC3" s="74">
        <f ca="1">INDEX(Calculs_modele!$G$2:$G$10,MATCH(B3,Calculs_modele!$B$2:$B$10,0))</f>
        <v>0.27417297435837096</v>
      </c>
      <c r="AD3" s="74">
        <f ca="1">INDEX(Calculs_modele!$K$2:$K$10,MATCH(B3,Calculs_modele!$B$2:$B$10,0))</f>
        <v>0.49268833553884095</v>
      </c>
      <c r="AE3" s="74">
        <f ca="1">INDEX(Calculs_modele!$O$2:$O$10,MATCH(B3,Calculs_modele!$B$2:$B$10,0))</f>
        <v>0.95994752333922484</v>
      </c>
    </row>
    <row r="4" spans="1:31" x14ac:dyDescent="0.15">
      <c r="A4" s="16"/>
      <c r="B4" s="10" t="s">
        <v>19</v>
      </c>
      <c r="C4" s="12">
        <v>0.08</v>
      </c>
      <c r="D4" s="17">
        <f ca="1">IF(AND(C4&gt;=N4,C4&lt;=O4),
((INDEX(Calculs_enquete!$B$2:$B$10,MATCH(B4,Calculs_enquete!$A$2:$A$10,0))*Y4) + (INDEX(Calculs_modele!$D$2:$D$10,MATCH(B4,Calculs_modele!$B$2:$B$10,0)) * AC4))/(Y4+AC4),
INDEX(Calculs_modele!$D$2:$D$10,MATCH(B4,Calculs_modele!$B$2:$B$10,0))
)</f>
        <v>10.451697534372565</v>
      </c>
      <c r="E4" s="18">
        <f t="shared" ca="1" si="0"/>
        <v>7.8101957292861304</v>
      </c>
      <c r="F4" s="19">
        <f ca="1">MAX(D4,INDEX(Calculs_modele!$F$2:$F$10,MATCH(B4,Calculs_modele!$B$2:$B$10,0)),INDEX(Calculs_enquete!$B$2:$B$10,MATCH(B4,Calculs_enquete!$A$2:$A$10,0)))</f>
        <v>13.093199339459</v>
      </c>
      <c r="G4" s="17">
        <f ca="1">IF(AND(C4&gt;=N4,C4&lt;=O4),
((INDEX(Calculs_enquete!$D$2:$D$10,MATCH(B4,Calculs_enquete!$A$2:$A$10,0))*Z4) + (INDEX(Calculs_modele!$H$2:$H$10,MATCH(B4,Calculs_modele!$B$2:$B$10,0))*AD4)) / (Z4+AD4),
INDEX(Calculs_modele!$H$2:$H$10,MATCH(B4,Calculs_modele!$B$2:$B$10,0))
)</f>
        <v>1.3375687029221486</v>
      </c>
      <c r="H4" s="18">
        <f ca="1">MIN(G4, INDEX(Calculs_modele!$I$2:$I$10,MATCH(B4,Calculs_modele!$B$2:$B$10,0)))</f>
        <v>0.42958085513097999</v>
      </c>
      <c r="I4" s="19">
        <f ca="1">MAX(H4,INDEX(Calculs_modele!$J$2:$J$10,MATCH(B4,Calculs_modele!$B$2:$B$10,0)))</f>
        <v>2.01232751076398</v>
      </c>
      <c r="J4" s="17">
        <f ca="1">IF(AND(C4&gt;=N4,C4&lt;=O4),
((INDEX(Calculs_enquete!$F$2:$F$10,MATCH(B4,Calculs_enquete!$A$2:$A$10,0))*AA4) + (INDEX(Calculs_modele!$L$2:$L$10,MATCH(B4,Calculs_modele!$B$2:$B$10,0)) *AE4)) / (AA4+AE4),
INDEX(Calculs_modele!$L$2:$L$10,MATCH(B4,Calculs_modele!$B$2:$B$10,0))
)</f>
        <v>5.4524737999689972</v>
      </c>
      <c r="K4" s="18">
        <f t="shared" ca="1" si="1"/>
        <v>5.0478732792691723</v>
      </c>
      <c r="L4" s="19">
        <f ca="1">MAX(J4,INDEX(Calculs_modele!$N$2:$N$10,MATCH(B4,Calculs_modele!$B$2:$B$10,0)))</f>
        <v>5.8570743206688221</v>
      </c>
      <c r="N4" s="4">
        <v>0.08</v>
      </c>
      <c r="O4" s="4">
        <v>0.3</v>
      </c>
      <c r="Q4" s="4" t="s">
        <v>63</v>
      </c>
      <c r="R4" s="4">
        <f>20.5/1000</f>
        <v>2.0500000000000001E-2</v>
      </c>
      <c r="U4" s="74">
        <f t="shared" ca="1" si="2"/>
        <v>0.35062102096912079</v>
      </c>
      <c r="V4" s="74">
        <f t="shared" ca="1" si="3"/>
        <v>0.42530003788070231</v>
      </c>
      <c r="W4" s="74">
        <f t="shared" ca="1" si="4"/>
        <v>0.79456815817486337</v>
      </c>
      <c r="Y4" s="74">
        <f ca="1">INDEX(Calculs_modele!$G$2:$G$10,MATCH(B4,Calculs_modele!$B$2:$B$10,0))</f>
        <v>0.35062102096912079</v>
      </c>
      <c r="Z4" s="74">
        <f>INDEX(Calculs_enquete!$E$2:$E$10,MATCH(B4,Calculs_enquete!$A$2:$A$10,0))</f>
        <v>7.5656656595626912E-2</v>
      </c>
      <c r="AA4" s="74">
        <f>INDEX(Calculs_enquete!$G$2:$G$10,MATCH(B4,Calculs_enquete!$A$2:$A$10,0))</f>
        <v>0.58913631634972674</v>
      </c>
      <c r="AC4" s="74">
        <f ca="1">INDEX(Calculs_modele!$G$2:$G$10,MATCH(B4,Calculs_modele!$B$2:$B$10,0))</f>
        <v>0.35062102096912079</v>
      </c>
      <c r="AD4" s="74">
        <f ca="1">INDEX(Calculs_modele!$K$2:$K$10,MATCH(B4,Calculs_modele!$B$2:$B$10,0))</f>
        <v>0.42530003788070231</v>
      </c>
      <c r="AE4" s="74">
        <f ca="1">INDEX(Calculs_modele!$O$2:$O$10,MATCH(B4,Calculs_modele!$B$2:$B$10,0))</f>
        <v>1</v>
      </c>
    </row>
    <row r="5" spans="1:31" x14ac:dyDescent="0.15">
      <c r="A5" s="15"/>
      <c r="B5" s="10" t="s">
        <v>20</v>
      </c>
      <c r="C5" s="11">
        <v>43</v>
      </c>
      <c r="D5" s="17">
        <f ca="1">IF(AND(C5&gt;=N5,C5&lt;=O5),
((INDEX(Calculs_enquete!$B$2:$B$10,MATCH(B5,Calculs_enquete!$A$2:$A$10,0))*Y5) + (INDEX(Calculs_modele!$D$2:$D$10,MATCH(B5,Calculs_modele!$B$2:$B$10,0)) * AC5))/(Y5+AC5),
INDEX(Calculs_modele!$D$2:$D$10,MATCH(B5,Calculs_modele!$B$2:$B$10,0))
)</f>
        <v>8.7788548861322511</v>
      </c>
      <c r="E5" s="18">
        <f t="shared" ca="1" si="0"/>
        <v>5.8223057840392407</v>
      </c>
      <c r="F5" s="19">
        <f ca="1">MAX(D5,INDEX(Calculs_modele!$F$2:$F$10,MATCH(B5,Calculs_modele!$B$2:$B$10,0)),INDEX(Calculs_enquete!$B$2:$B$10,MATCH(B5,Calculs_enquete!$A$2:$A$10,0)))</f>
        <v>11.735403988225261</v>
      </c>
      <c r="G5" s="17">
        <f ca="1">IF(AND(C5&gt;=N5,C5&lt;=O5),
((INDEX(Calculs_enquete!$D$2:$D$10,MATCH(B5,Calculs_enquete!$A$2:$A$10,0))*Z5) + (INDEX(Calculs_modele!$H$2:$H$10,MATCH(B5,Calculs_modele!$B$2:$B$10,0))*AD5)) / (Z5+AD5),
INDEX(Calculs_modele!$H$2:$H$10,MATCH(B5,Calculs_modele!$B$2:$B$10,0))
)</f>
        <v>1.3927669910663425</v>
      </c>
      <c r="H5" s="18">
        <f ca="1">MIN(G5, INDEX(Calculs_modele!$I$2:$I$10,MATCH(B5,Calculs_modele!$B$2:$B$10,0)))</f>
        <v>0.60834305464385396</v>
      </c>
      <c r="I5" s="19">
        <f ca="1">MAX(H5,INDEX(Calculs_modele!$J$2:$J$10,MATCH(B5,Calculs_modele!$B$2:$B$10,0)))</f>
        <v>2.0253538810589902</v>
      </c>
      <c r="J5" s="17">
        <f ca="1">IF(AND(C5&gt;=N5,C5&lt;=O5),
((INDEX(Calculs_enquete!$F$2:$F$10,MATCH(B5,Calculs_enquete!$A$2:$A$10,0))*AA5) + (INDEX(Calculs_modele!$L$2:$L$10,MATCH(B5,Calculs_modele!$B$2:$B$10,0)) *AE5)) / (AA5+AE5),
INDEX(Calculs_modele!$L$2:$L$10,MATCH(B5,Calculs_modele!$B$2:$B$10,0))
)</f>
        <v>4.8065277911054336</v>
      </c>
      <c r="K5" s="18">
        <f t="shared" ca="1" si="1"/>
        <v>4.2918536994562171</v>
      </c>
      <c r="L5" s="19">
        <f ca="1">MAX(J5,INDEX(Calculs_modele!$N$2:$N$10,MATCH(B5,Calculs_modele!$B$2:$B$10,0)))</f>
        <v>5.3212018827546501</v>
      </c>
      <c r="N5" s="4">
        <v>43</v>
      </c>
      <c r="O5" s="4">
        <v>226</v>
      </c>
      <c r="U5" s="74">
        <f t="shared" ca="1" si="2"/>
        <v>0.54810062237608048</v>
      </c>
      <c r="V5" s="74">
        <f t="shared" ca="1" si="3"/>
        <v>0.47504380351082925</v>
      </c>
      <c r="W5" s="74">
        <f t="shared" ca="1" si="4"/>
        <v>3.7602247843914048E-2</v>
      </c>
      <c r="Y5" s="74">
        <f ca="1">INDEX(Calculs_modele!$G$2:$G$10,MATCH(B5,Calculs_modele!$B$2:$B$10,0))</f>
        <v>0.54810062237608048</v>
      </c>
      <c r="Z5" s="74">
        <f>INDEX(Calculs_enquete!$E$2:$E$10,MATCH(B5,Calculs_enquete!$A$2:$A$10,0))</f>
        <v>5.2515953231355446E-2</v>
      </c>
      <c r="AA5" s="74">
        <f>INDEX(Calculs_enquete!$G$2:$G$10,MATCH(B5,Calculs_enquete!$A$2:$A$10,0))</f>
        <v>0.62837306839497142</v>
      </c>
      <c r="AC5" s="74">
        <f ca="1">INDEX(Calculs_modele!$G$2:$G$10,MATCH(B5,Calculs_modele!$B$2:$B$10,0))</f>
        <v>0.54810062237608048</v>
      </c>
      <c r="AD5" s="74">
        <f ca="1">INDEX(Calculs_modele!$K$2:$K$10,MATCH(B5,Calculs_modele!$B$2:$B$10,0))</f>
        <v>0.47504380351082925</v>
      </c>
      <c r="AE5" s="74">
        <f ca="1">INDEX(Calculs_modele!$O$2:$O$10,MATCH(B5,Calculs_modele!$B$2:$B$10,0))</f>
        <v>3.7602247843914048E-2</v>
      </c>
    </row>
    <row r="6" spans="1:31" x14ac:dyDescent="0.15">
      <c r="A6" s="15"/>
      <c r="B6" s="10" t="s">
        <v>24</v>
      </c>
      <c r="C6" s="13">
        <v>0.20499999999999999</v>
      </c>
      <c r="D6" s="17">
        <f ca="1">IF(AND(C6&gt;=N6,C6&lt;=O6),
((INDEX(Calculs_enquete!$B$2:$B$10,MATCH(B6,Calculs_enquete!$A$2:$A$10,0))*Y6) + (INDEX(Calculs_modele!$D$2:$D$10,MATCH(B6,Calculs_modele!$B$2:$B$10,0)) * AC6))/(Y6+AC6),
INDEX(Calculs_modele!$D$2:$D$10,MATCH(B6,Calculs_modele!$B$2:$B$10,0))
)</f>
        <v>10.855802029895486</v>
      </c>
      <c r="E6" s="18">
        <f t="shared" ca="1" si="0"/>
        <v>7.4619642842452514</v>
      </c>
      <c r="F6" s="19">
        <f ca="1">MAX(D6,INDEX(Calculs_modele!$F$2:$F$10,MATCH(B6,Calculs_modele!$B$2:$B$10,0)),INDEX(Calculs_enquete!$B$2:$B$10,MATCH(B6,Calculs_enquete!$A$2:$A$10,0)))</f>
        <v>14.24963977554572</v>
      </c>
      <c r="G6" s="17">
        <f ca="1">IF(AND(C6&gt;=N6,C6&lt;=O6),
((INDEX(Calculs_enquete!$D$2:$D$10,MATCH(B6,Calculs_enquete!$A$2:$A$10,0))*Z6) + (INDEX(Calculs_modele!$H$2:$H$10,MATCH(B6,Calculs_modele!$B$2:$B$10,0))*AD6)) / (Z6+AD6),
INDEX(Calculs_modele!$H$2:$H$10,MATCH(B6,Calculs_modele!$B$2:$B$10,0))
)</f>
        <v>1.2063014102854908</v>
      </c>
      <c r="H6" s="18">
        <f ca="1">MIN(G6, INDEX(Calculs_modele!$I$2:$I$10,MATCH(B6,Calculs_modele!$B$2:$B$10,0)))</f>
        <v>0</v>
      </c>
      <c r="I6" s="19">
        <f ca="1">MAX(H6,INDEX(Calculs_modele!$J$2:$J$10,MATCH(B6,Calculs_modele!$B$2:$B$10,0)))</f>
        <v>2.10515618604656</v>
      </c>
      <c r="J6" s="17">
        <f ca="1">IF(AND(C6&gt;=N6,C6&lt;=O6),
((INDEX(Calculs_enquete!$F$2:$F$10,MATCH(B6,Calculs_enquete!$A$2:$A$10,0))*AA6) + (INDEX(Calculs_modele!$L$2:$L$10,MATCH(B6,Calculs_modele!$B$2:$B$10,0)) *AE6)) / (AA6+AE6),
INDEX(Calculs_modele!$L$2:$L$10,MATCH(B6,Calculs_modele!$B$2:$B$10,0))
)</f>
        <v>4.3859067137196206</v>
      </c>
      <c r="K6" s="18">
        <f t="shared" ca="1" si="1"/>
        <v>0</v>
      </c>
      <c r="L6" s="19">
        <f ca="1">MAX(J6,INDEX(Calculs_modele!$N$2:$N$10,MATCH(B6,Calculs_modele!$B$2:$B$10,0)))</f>
        <v>9.0275774657479371</v>
      </c>
      <c r="N6" s="4">
        <v>0.20499999999999999</v>
      </c>
      <c r="O6" s="4">
        <v>0.8</v>
      </c>
      <c r="U6" s="74">
        <f t="shared" ca="1" si="2"/>
        <v>0.28716002371915006</v>
      </c>
      <c r="V6" s="74">
        <f t="shared" ca="1" si="3"/>
        <v>0.31975879844830757</v>
      </c>
      <c r="W6" s="74">
        <f t="shared" ca="1" si="4"/>
        <v>6.1349798512944581E-3</v>
      </c>
      <c r="Y6" s="74">
        <f ca="1">INDEX(Calculs_modele!$G$2:$G$10,MATCH(B6,Calculs_modele!$B$2:$B$10,0))</f>
        <v>0.28716002371915006</v>
      </c>
      <c r="Z6" s="74">
        <f>INDEX(Calculs_enquete!$E$2:$E$10,MATCH(B6,Calculs_enquete!$A$2:$A$10,0))</f>
        <v>0.28662294280144496</v>
      </c>
      <c r="AA6" s="74">
        <f>INDEX(Calculs_enquete!$G$2:$G$10,MATCH(B6,Calculs_enquete!$A$2:$A$10,0))</f>
        <v>0.50391217475426797</v>
      </c>
      <c r="AC6" s="74">
        <f ca="1">INDEX(Calculs_modele!$G$2:$G$10,MATCH(B6,Calculs_modele!$B$2:$B$10,0))</f>
        <v>0.28716002371915006</v>
      </c>
      <c r="AD6" s="74">
        <f ca="1">INDEX(Calculs_modele!$K$2:$K$10,MATCH(B6,Calculs_modele!$B$2:$B$10,0))</f>
        <v>0.31975879844830757</v>
      </c>
      <c r="AE6" s="74">
        <f ca="1">INDEX(Calculs_modele!$O$2:$O$10,MATCH(B6,Calculs_modele!$B$2:$B$10,0))</f>
        <v>6.1349798512944581E-3</v>
      </c>
    </row>
    <row r="7" spans="1:31" x14ac:dyDescent="0.15">
      <c r="A7" s="15"/>
      <c r="B7" s="10" t="s">
        <v>25</v>
      </c>
      <c r="C7" s="11">
        <v>17</v>
      </c>
      <c r="D7" s="17">
        <f ca="1">IF(AND(C7&gt;=N7,C7&lt;=O7),
((INDEX(Calculs_enquete!$B$2:$B$10,MATCH(B7,Calculs_enquete!$A$2:$A$10,0))*Y7) + (INDEX(Calculs_modele!$D$2:$D$10,MATCH(B7,Calculs_modele!$B$2:$B$10,0)) * AC7))/(Y7+AC7),
INDEX(Calculs_modele!$D$2:$D$10,MATCH(B7,Calculs_modele!$B$2:$B$10,0))
)</f>
        <v>9.6117514448673855</v>
      </c>
      <c r="E7" s="18">
        <f t="shared" ca="1" si="0"/>
        <v>7.4979212711902612</v>
      </c>
      <c r="F7" s="19">
        <f ca="1">MAX(D7,INDEX(Calculs_modele!$F$2:$F$10,MATCH(B7,Calculs_modele!$B$2:$B$10,0)),INDEX(Calculs_enquete!$B$2:$B$10,MATCH(B7,Calculs_enquete!$A$2:$A$10,0)))</f>
        <v>11.72558161854451</v>
      </c>
      <c r="G7" s="17">
        <f ca="1">IF(AND(C7&gt;=N7,C7&lt;=O7),
((INDEX(Calculs_enquete!$D$2:$D$10,MATCH(B7,Calculs_enquete!$A$2:$A$10,0))*Z7) + (INDEX(Calculs_modele!$H$2:$H$10,MATCH(B7,Calculs_modele!$B$2:$B$10,0))*AD7)) / (Z7+AD7),
INDEX(Calculs_modele!$H$2:$H$10,MATCH(B7,Calculs_modele!$B$2:$B$10,0))
)</f>
        <v>1.5781057977834085</v>
      </c>
      <c r="H7" s="18">
        <f ca="1">MIN(G7, INDEX(Calculs_modele!$I$2:$I$10,MATCH(B7,Calculs_modele!$B$2:$B$10,0)))</f>
        <v>0.79829590851351095</v>
      </c>
      <c r="I7" s="19">
        <f ca="1">MAX(H7,INDEX(Calculs_modele!$J$2:$J$10,MATCH(B7,Calculs_modele!$B$2:$B$10,0)))</f>
        <v>2.1788316052485301</v>
      </c>
      <c r="J7" s="17">
        <f ca="1">IF(AND(C7&gt;=N7,C7&lt;=O7),
((INDEX(Calculs_enquete!$F$2:$F$10,MATCH(B7,Calculs_enquete!$A$2:$A$10,0))*AA7) + (INDEX(Calculs_modele!$L$2:$L$10,MATCH(B7,Calculs_modele!$B$2:$B$10,0)) *AE7)) / (AA7+AE7),
INDEX(Calculs_modele!$L$2:$L$10,MATCH(B7,Calculs_modele!$B$2:$B$10,0))
)</f>
        <v>4.6108085277737212</v>
      </c>
      <c r="K7" s="18">
        <f t="shared" ca="1" si="1"/>
        <v>4.6108085277737212</v>
      </c>
      <c r="L7" s="19">
        <f ca="1">MAX(J7,INDEX(Calculs_modele!$N$2:$N$10,MATCH(B7,Calculs_modele!$B$2:$B$10,0)))</f>
        <v>4.6108085277737212</v>
      </c>
      <c r="N7" s="4">
        <v>15</v>
      </c>
      <c r="O7" s="4">
        <v>43</v>
      </c>
      <c r="U7" s="74">
        <f t="shared" ca="1" si="2"/>
        <v>0.62294177612757351</v>
      </c>
      <c r="V7" s="74">
        <f t="shared" ca="1" si="3"/>
        <v>0.48759493447960672</v>
      </c>
      <c r="W7" s="74">
        <f t="shared" ca="1" si="4"/>
        <v>1.5222539925472131E-2</v>
      </c>
      <c r="Y7" s="74">
        <f ca="1">INDEX(Calculs_modele!$G$2:$G$10,MATCH(B7,Calculs_modele!$B$2:$B$10,0))</f>
        <v>0.62294177612757351</v>
      </c>
      <c r="Z7" s="74">
        <f>INDEX(Calculs_enquete!$E$2:$E$10,MATCH(B7,Calculs_enquete!$A$2:$A$10,0))</f>
        <v>0.10891563482096711</v>
      </c>
      <c r="AA7" s="74">
        <f>INDEX(Calculs_enquete!$G$2:$G$10,MATCH(B7,Calculs_enquete!$A$2:$A$10,0))</f>
        <v>0.53358489069630377</v>
      </c>
      <c r="AC7" s="74">
        <f ca="1">INDEX(Calculs_modele!$G$2:$G$10,MATCH(B7,Calculs_modele!$B$2:$B$10,0))</f>
        <v>0.62294177612757351</v>
      </c>
      <c r="AD7" s="74">
        <f ca="1">INDEX(Calculs_modele!$K$2:$K$10,MATCH(B7,Calculs_modele!$B$2:$B$10,0))</f>
        <v>0.48759493447960672</v>
      </c>
      <c r="AE7" s="74">
        <f ca="1">INDEX(Calculs_modele!$O$2:$O$10,MATCH(B7,Calculs_modele!$B$2:$B$10,0))</f>
        <v>1.5222539925472131E-2</v>
      </c>
    </row>
    <row r="8" spans="1:31" x14ac:dyDescent="0.15">
      <c r="A8" s="15"/>
      <c r="B8" s="10" t="s">
        <v>26</v>
      </c>
      <c r="C8" s="13">
        <v>1.4999999999999999E-2</v>
      </c>
      <c r="D8" s="17">
        <f ca="1">IF(AND(C8&gt;=N8,C8&lt;=O8),
((INDEX(Calculs_enquete!$B$2:$B$10,MATCH(B8,Calculs_enquete!$A$2:$A$10,0))*Y8) + (INDEX(Calculs_modele!$D$2:$D$10,MATCH(B8,Calculs_modele!$B$2:$B$10,0)) * AC8))/(Y8+AC8),
INDEX(Calculs_modele!$D$2:$D$10,MATCH(B8,Calculs_modele!$B$2:$B$10,0))
)</f>
        <v>9.1479694152913957</v>
      </c>
      <c r="E8" s="18">
        <f t="shared" ca="1" si="0"/>
        <v>6.8055475545243205</v>
      </c>
      <c r="F8" s="19">
        <f ca="1">MAX(D8,INDEX(Calculs_modele!$F$2:$F$10,MATCH(B8,Calculs_modele!$B$2:$B$10,0)),INDEX(Calculs_enquete!$B$2:$B$10,MATCH(B8,Calculs_enquete!$A$2:$A$10,0)))</f>
        <v>11.490391276058471</v>
      </c>
      <c r="G8" s="17">
        <f ca="1">IF(AND(C8&gt;=N8,C8&lt;=O8),
((INDEX(Calculs_enquete!$D$2:$D$10,MATCH(B8,Calculs_enquete!$A$2:$A$10,0))*Z8) + (INDEX(Calculs_modele!$H$2:$H$10,MATCH(B8,Calculs_modele!$B$2:$B$10,0))*AD8)) / (Z8+AD8),
INDEX(Calculs_modele!$H$2:$H$10,MATCH(B8,Calculs_modele!$B$2:$B$10,0))
)</f>
        <v>1.6377680433715556</v>
      </c>
      <c r="H8" s="18">
        <f ca="1">MIN(G8, INDEX(Calculs_modele!$I$2:$I$10,MATCH(B8,Calculs_modele!$B$2:$B$10,0)))</f>
        <v>0.84317805587906303</v>
      </c>
      <c r="I8" s="19">
        <f ca="1">MAX(H8,INDEX(Calculs_modele!$J$2:$J$10,MATCH(B8,Calculs_modele!$B$2:$B$10,0)))</f>
        <v>2.2988308296484399</v>
      </c>
      <c r="J8" s="17">
        <f ca="1">IF(AND(C8&gt;=N8,C8&lt;=O8),
((INDEX(Calculs_enquete!$F$2:$F$10,MATCH(B8,Calculs_enquete!$A$2:$A$10,0))*AA8) + (INDEX(Calculs_modele!$L$2:$L$10,MATCH(B8,Calculs_modele!$B$2:$B$10,0)) *AE8)) / (AA8+AE8),
INDEX(Calculs_modele!$L$2:$L$10,MATCH(B8,Calculs_modele!$B$2:$B$10,0))
)</f>
        <v>4.7783707764192069</v>
      </c>
      <c r="K8" s="18">
        <f t="shared" ca="1" si="1"/>
        <v>1.8542093131870079</v>
      </c>
      <c r="L8" s="19">
        <f ca="1">MAX(J8,INDEX(Calculs_modele!$N$2:$N$10,MATCH(B8,Calculs_modele!$B$2:$B$10,0)))</f>
        <v>7.702532239651406</v>
      </c>
      <c r="N8" s="4">
        <v>1.4999999999999999E-2</v>
      </c>
      <c r="O8" s="4">
        <v>8.5999999999999993E-2</v>
      </c>
      <c r="U8" s="74">
        <f t="shared" ca="1" si="2"/>
        <v>0.3100339122756004</v>
      </c>
      <c r="V8" s="74">
        <f t="shared" ca="1" si="3"/>
        <v>0.46243322908194973</v>
      </c>
      <c r="W8" s="74">
        <f t="shared" ca="1" si="4"/>
        <v>8.2587057949051398E-3</v>
      </c>
      <c r="Y8" s="74">
        <f ca="1">INDEX(Calculs_modele!$G$2:$G$10,MATCH(B8,Calculs_modele!$B$2:$B$10,0))</f>
        <v>0.3100339122756004</v>
      </c>
      <c r="Z8" s="74">
        <f>INDEX(Calculs_enquete!$E$2:$E$10,MATCH(B8,Calculs_enquete!$A$2:$A$10,0))</f>
        <v>8.3888367317648774E-2</v>
      </c>
      <c r="AA8" s="74">
        <f>INDEX(Calculs_enquete!$G$2:$G$10,MATCH(B8,Calculs_enquete!$A$2:$A$10,0))</f>
        <v>0.62746941428639891</v>
      </c>
      <c r="AC8" s="74">
        <f ca="1">INDEX(Calculs_modele!$G$2:$G$10,MATCH(B8,Calculs_modele!$B$2:$B$10,0))</f>
        <v>0.3100339122756004</v>
      </c>
      <c r="AD8" s="74">
        <f ca="1">INDEX(Calculs_modele!$K$2:$K$10,MATCH(B8,Calculs_modele!$B$2:$B$10,0))</f>
        <v>0.46243322908194973</v>
      </c>
      <c r="AE8" s="74">
        <f ca="1">INDEX(Calculs_modele!$O$2:$O$10,MATCH(B8,Calculs_modele!$B$2:$B$10,0))</f>
        <v>8.2587057949051398E-3</v>
      </c>
    </row>
    <row r="9" spans="1:31" x14ac:dyDescent="0.15">
      <c r="A9" s="15"/>
      <c r="B9" s="10" t="s">
        <v>27</v>
      </c>
      <c r="C9" s="11">
        <v>4</v>
      </c>
      <c r="D9" s="17">
        <f ca="1">IF(AND(C9&gt;=N9,C9&lt;=O9),
((INDEX(Calculs_enquete!$B$2:$B$10,MATCH(B9,Calculs_enquete!$A$2:$A$10,0))*Y9) + (INDEX(Calculs_modele!$D$2:$D$10,MATCH(B9,Calculs_modele!$B$2:$B$10,0)) * AC9))/(Y9+AC9),
INDEX(Calculs_modele!$D$2:$D$10,MATCH(B9,Calculs_modele!$B$2:$B$10,0))
)</f>
        <v>10.811924275809496</v>
      </c>
      <c r="E9" s="18">
        <f t="shared" ca="1" si="0"/>
        <v>8.4180679999999963</v>
      </c>
      <c r="F9" s="19">
        <f ca="1">MAX(D9,INDEX(Calculs_modele!$F$2:$F$10,MATCH(B9,Calculs_modele!$B$2:$B$10,0)),INDEX(Calculs_enquete!$B$2:$B$10,MATCH(B9,Calculs_enquete!$A$2:$A$10,0)))</f>
        <v>13.205780551618995</v>
      </c>
      <c r="G9" s="17">
        <f ca="1">IF(AND(C9&gt;=N9,C9&lt;=O9),
((INDEX(Calculs_enquete!$D$2:$D$10,MATCH(B9,Calculs_enquete!$A$2:$A$10,0))*Z9) + (INDEX(Calculs_modele!$H$2:$H$10,MATCH(B9,Calculs_modele!$B$2:$B$10,0))*AD9)) / (Z9+AD9),
INDEX(Calculs_modele!$H$2:$H$10,MATCH(B9,Calculs_modele!$B$2:$B$10,0))
)</f>
        <v>1.4687421239800431</v>
      </c>
      <c r="H9" s="18">
        <f ca="1">MIN(G9, INDEX(Calculs_modele!$I$2:$I$10,MATCH(B9,Calculs_modele!$B$2:$B$10,0)))</f>
        <v>0.57910540109999997</v>
      </c>
      <c r="I9" s="19">
        <f ca="1">MAX(H9,INDEX(Calculs_modele!$J$2:$J$10,MATCH(B9,Calculs_modele!$B$2:$B$10,0)))</f>
        <v>2.1498296397000001</v>
      </c>
      <c r="J9" s="17">
        <f ca="1">IF(AND(C9&gt;=N9,C9&lt;=O9),
((INDEX(Calculs_enquete!$F$2:$F$10,MATCH(B9,Calculs_enquete!$A$2:$A$10,0))*AA9) + (INDEX(Calculs_modele!$L$2:$L$10,MATCH(B9,Calculs_modele!$B$2:$B$10,0)) *AE9)) / (AA9+AE9),
INDEX(Calculs_modele!$L$2:$L$10,MATCH(B9,Calculs_modele!$B$2:$B$10,0))
)</f>
        <v>4.8297295899214472</v>
      </c>
      <c r="K9" s="18">
        <f t="shared" ca="1" si="1"/>
        <v>1.5874028195428949</v>
      </c>
      <c r="L9" s="19">
        <f ca="1">MAX(J9,INDEX(Calculs_modele!$N$2:$N$10,MATCH(B9,Calculs_modele!$B$2:$B$10,0)))</f>
        <v>8.0720563602999995</v>
      </c>
      <c r="N9" s="4">
        <v>1</v>
      </c>
      <c r="O9" s="4">
        <v>4</v>
      </c>
      <c r="U9" s="74">
        <f t="shared" ca="1" si="2"/>
        <v>0.42155172413793113</v>
      </c>
      <c r="V9" s="74">
        <f t="shared" ca="1" si="3"/>
        <v>0.42855530974440637</v>
      </c>
      <c r="W9" s="74">
        <f t="shared" ca="1" si="4"/>
        <v>2.2415047397543672E-2</v>
      </c>
      <c r="Y9" s="74">
        <f ca="1">INDEX(Calculs_modele!$G$2:$G$10,MATCH(B9,Calculs_modele!$B$2:$B$10,0))</f>
        <v>0.42155172413793113</v>
      </c>
      <c r="Z9" s="74">
        <f>INDEX(Calculs_enquete!$E$2:$E$10,MATCH(B9,Calculs_enquete!$A$2:$A$10,0))</f>
        <v>0.15396205291468759</v>
      </c>
      <c r="AA9" s="74">
        <f>INDEX(Calculs_enquete!$G$2:$G$10,MATCH(B9,Calculs_enquete!$A$2:$A$10,0))</f>
        <v>0.51582919702042374</v>
      </c>
      <c r="AC9" s="74">
        <f ca="1">INDEX(Calculs_modele!$G$2:$G$10,MATCH(B9,Calculs_modele!$B$2:$B$10,0))</f>
        <v>0.42155172413793113</v>
      </c>
      <c r="AD9" s="74">
        <f ca="1">INDEX(Calculs_modele!$K$2:$K$10,MATCH(B9,Calculs_modele!$B$2:$B$10,0))</f>
        <v>0.42855530974440637</v>
      </c>
      <c r="AE9" s="74">
        <f ca="1">INDEX(Calculs_modele!$O$2:$O$10,MATCH(B9,Calculs_modele!$B$2:$B$10,0))</f>
        <v>2.2415047397543672E-2</v>
      </c>
    </row>
    <row r="10" spans="1:31" ht="14" thickBot="1" x14ac:dyDescent="0.2">
      <c r="A10" s="15"/>
      <c r="B10" s="76" t="s">
        <v>28</v>
      </c>
      <c r="C10" s="77" t="s">
        <v>7</v>
      </c>
      <c r="D10" s="78" cm="1">
        <f t="array" aca="1" ref="D10" ca="1">IF(AND(COLUMN(INDIRECT(C10&amp;1))&gt;=N10,COLUMN(INDIRECT(C10&amp;1))&lt;=O10 ),
((INDEX(Calculs_enquete!$B$2:$B$10,MATCH(B10,Calculs_enquete!$A$2:$A$10,0))*Y10) + (INDEX(Calculs_modele!$D$2:$D$10,MATCH(B10,Calculs_modele!$B$2:$B$10,0)) * AC10))/(Y10+AC10),
INDEX(Calculs_modele!$D$2:$D$10,MATCH(B10,Calculs_modele!$B$2:$B$10,0)))</f>
        <v>7.6819817315864416</v>
      </c>
      <c r="E10" s="18">
        <f t="shared" ca="1" si="0"/>
        <v>6.0252610000000004</v>
      </c>
      <c r="F10" s="19">
        <f ca="1">MAX(D10,INDEX(Calculs_modele!$F$2:$F$10,MATCH(B10,Calculs_modele!$B$2:$B$10,0)),INDEX(Calculs_enquete!$B$2:$B$10,MATCH(B10,Calculs_enquete!$A$2:$A$10,0)))</f>
        <v>9.3387024631728828</v>
      </c>
      <c r="G10" s="94">
        <f ca="1">IF(AND(C10&gt;=N10,C10&lt;=O10),
((INDEX(Calculs_enquete!$D$2:$D$10,MATCH(B10,Calculs_enquete!$A$2:$A$10,0))*Z10) + (INDEX(Calculs_modele!$H$2:$H$10,MATCH(B10,Calculs_modele!$B$2:$B$10,0)))*AD10) / (Z10+AD10),
INDEX(Calculs_modele!$H$2:$H$10,MATCH(B10,Calculs_modele!$B$2:$B$10,0))
)</f>
        <v>1.6579866963000001</v>
      </c>
      <c r="H10" s="81">
        <f ca="1">MIN(G10, INDEX(Calculs_modele!$I$2:$I$10,MATCH(B10,Calculs_modele!$B$2:$B$10,0)))</f>
        <v>1.2613391613</v>
      </c>
      <c r="I10" s="93">
        <f ca="1">MAX(H10,INDEX(Calculs_modele!$J$2:$J$10,MATCH(B10,Calculs_modele!$B$2:$B$10,0)))</f>
        <v>2.0546342313000001</v>
      </c>
      <c r="J10" s="94">
        <f ca="1">IF(AND(C10&gt;=N10,C10&lt;=O10),
(INDEX(Calculs_enquete!$F$2:$F$10,MATCH(B10,Calculs_enquete!$A$2:$A$10,0))*AA10) + (INDEX(Calculs_modele!$L$2:$L$10,MATCH(B10,Calculs_modele!$B$2:$B$10,0))*AE10) / (AA10+AE10),
INDEX(Calculs_modele!$L$2:$L$10,MATCH(B10,Calculs_modele!$B$2:$B$10,0))
)</f>
        <v>4.9040803036999989</v>
      </c>
      <c r="K10" s="18">
        <f t="shared" ca="1" si="1"/>
        <v>4.7596058386999971</v>
      </c>
      <c r="L10" s="93">
        <f ca="1">MAX(J10,INDEX(Calculs_modele!$N$2:$N$10,MATCH(B10,Calculs_modele!$B$2:$B$10,0)))</f>
        <v>5.0485547687000007</v>
      </c>
      <c r="N10" s="43">
        <v>1</v>
      </c>
      <c r="O10" s="43">
        <v>3</v>
      </c>
      <c r="P10" s="61"/>
      <c r="U10" s="74">
        <f t="shared" ca="1" si="2"/>
        <v>0.89724770642201845</v>
      </c>
      <c r="V10" s="74">
        <f t="shared" ca="1" si="3"/>
        <v>0.84853951329392441</v>
      </c>
      <c r="W10" s="74">
        <f t="shared" ca="1" si="4"/>
        <v>4.5244265718438363E-2</v>
      </c>
      <c r="Y10" s="74">
        <f ca="1">INDEX(Calculs_modele!$G$2:$G$10,MATCH(B10,Calculs_modele!$B$2:$B$10,0))</f>
        <v>0.89724770642201845</v>
      </c>
      <c r="Z10" s="74">
        <f>INDEX(Calculs_enquete!$E$2:$E$10,MATCH(B10,Calculs_enquete!$A$2:$A$10,0))</f>
        <v>7.7642772838517934E-2</v>
      </c>
      <c r="AA10" s="74">
        <f>INDEX(Calculs_enquete!$G$2:$G$10,MATCH(B10,Calculs_enquete!$A$2:$A$10,0))</f>
        <v>0.79214905292971449</v>
      </c>
      <c r="AC10" s="74">
        <f ca="1">INDEX(Calculs_modele!$G$2:$G$10,MATCH(B10,Calculs_modele!$B$2:$B$10,0))</f>
        <v>0.89724770642201845</v>
      </c>
      <c r="AD10" s="74">
        <f ca="1">INDEX(Calculs_modele!$K$2:$K$10,MATCH(B10,Calculs_modele!$B$2:$B$10,0))</f>
        <v>0.84853951329392441</v>
      </c>
      <c r="AE10" s="74">
        <f ca="1">INDEX(Calculs_modele!$O$2:$O$10,MATCH(B10,Calculs_modele!$B$2:$B$10,0))</f>
        <v>4.5244265718438363E-2</v>
      </c>
    </row>
    <row r="11" spans="1:31" ht="14" thickBot="1" x14ac:dyDescent="0.2">
      <c r="A11" s="15"/>
      <c r="B11" s="97" t="s">
        <v>57</v>
      </c>
      <c r="C11" s="99">
        <v>0.6</v>
      </c>
      <c r="D11" s="100">
        <f ca="1">INDEX(Calculs_modele!$D$2:$D$11,MATCH(B11,Calculs_modele!$B$2:$B$11,0))</f>
        <v>4.7337217999999996</v>
      </c>
      <c r="E11" s="95">
        <f ca="1">MAX(D11-(F11-D11),0)</f>
        <v>3.3153349999999993</v>
      </c>
      <c r="F11" s="96">
        <f ca="1">INDEX(Calculs_modele!$F$2:$F$11,MATCH(B11,Calculs_modele!$B$2:$B$11,0))</f>
        <v>6.1521086</v>
      </c>
      <c r="G11" s="100">
        <f ca="1">INDEX(Calculs_modele!$H$2:$H$11,MATCH(B11,Calculs_modele!$B$2:$B$11,0))</f>
        <v>1.88169590604</v>
      </c>
      <c r="H11" s="95">
        <f ca="1">INDEX(Calculs_modele!$I$2:$I$11,MATCH(B11,Calculs_modele!$B$2:$B$11,0))</f>
        <v>1.51836676398</v>
      </c>
      <c r="I11" s="96">
        <f ca="1">INDEX(Calculs_modele!$J$2:$J$11,MATCH(B11,Calculs_modele!$B$2:$B$11,0))</f>
        <v>2.2481982283800002</v>
      </c>
      <c r="J11" s="98">
        <f ca="1">INDEX(Calculs_modele!$L$2:$L$11,MATCH(B11,Calculs_modele!$B$2:$B$11,0))</f>
        <v>4.9229662939599992</v>
      </c>
      <c r="K11" s="95">
        <f ca="1">MAX(J11-(L11-J11))</f>
        <v>4.7673090162999987</v>
      </c>
      <c r="L11" s="96">
        <f ca="1">INDEX(Calculs_modele!$N$2:$N$11,MATCH(B11,Calculs_modele!$B$2:$B$11,0))</f>
        <v>5.0786235716199997</v>
      </c>
      <c r="N11" s="61"/>
      <c r="O11" s="61"/>
      <c r="P11" s="61"/>
      <c r="U11" s="74">
        <f t="shared" ca="1" si="2"/>
        <v>1</v>
      </c>
      <c r="V11" s="74">
        <f t="shared" ca="1" si="3"/>
        <v>0.92232555792817861</v>
      </c>
      <c r="W11" s="74">
        <f t="shared" ca="1" si="4"/>
        <v>3.9357740722901879E-2</v>
      </c>
      <c r="Y11" s="74">
        <f ca="1">INDEX(Calculs_modele!$G$2:$G$11,MATCH(B11,Calculs_modele!$B$2:$B$11,0))</f>
        <v>1</v>
      </c>
      <c r="Z11" s="74">
        <f ca="1">INDEX(Calculs_modele!$K$2:$K$11,MATCH(B11,Calculs_modele!$B$2:$B$11,0))</f>
        <v>0.92232555792817861</v>
      </c>
      <c r="AA11" s="74">
        <f ca="1">INDEX(Calculs_modele!$O$2:$O$11,MATCH(B11,Calculs_modele!$B$2:$B$11,0))</f>
        <v>3.9357740722901879E-2</v>
      </c>
      <c r="AC11" s="74">
        <f ca="1">INDEX(Calculs_modele!$G$2:$G$11,MATCH(B11,Calculs_modele!$B$2:$B$11,0))</f>
        <v>1</v>
      </c>
      <c r="AD11" s="74">
        <f ca="1">INDEX(Calculs_modele!$K$2:$K$11,MATCH(B11,Calculs_modele!$B$2:$B$11,0))</f>
        <v>0.92232555792817861</v>
      </c>
      <c r="AE11" s="74">
        <f ca="1">INDEX(Calculs_modele!$O$2:$O$11,MATCH(B11,Calculs_modele!$B$2:$B$11,0))</f>
        <v>3.9357740722901879E-2</v>
      </c>
    </row>
    <row r="12" spans="1:31" ht="14" thickBot="1" x14ac:dyDescent="0.2">
      <c r="N12" s="150" t="s">
        <v>64</v>
      </c>
      <c r="O12" s="150"/>
      <c r="U12" s="151" t="s">
        <v>64</v>
      </c>
      <c r="V12" s="151"/>
      <c r="W12" s="151"/>
      <c r="Y12" s="151" t="s">
        <v>64</v>
      </c>
      <c r="Z12" s="151"/>
      <c r="AA12" s="151"/>
      <c r="AC12" s="151" t="s">
        <v>64</v>
      </c>
      <c r="AD12" s="151"/>
      <c r="AE12" s="151"/>
    </row>
    <row r="13" spans="1:31" ht="42" x14ac:dyDescent="0.15">
      <c r="B13" s="147" t="s">
        <v>65</v>
      </c>
      <c r="C13" s="147"/>
      <c r="D13" s="22" t="s">
        <v>66</v>
      </c>
      <c r="E13" s="23" t="s">
        <v>67</v>
      </c>
      <c r="F13" s="24" t="s">
        <v>68</v>
      </c>
      <c r="G13" s="22" t="s">
        <v>69</v>
      </c>
      <c r="H13" s="23" t="s">
        <v>70</v>
      </c>
      <c r="I13" s="24" t="s">
        <v>71</v>
      </c>
      <c r="J13" s="22" t="s">
        <v>72</v>
      </c>
      <c r="K13" s="23" t="s">
        <v>73</v>
      </c>
      <c r="L13" s="24" t="s">
        <v>74</v>
      </c>
    </row>
    <row r="14" spans="1:31" ht="14" thickBot="1" x14ac:dyDescent="0.2">
      <c r="B14" s="146" t="s">
        <v>75</v>
      </c>
      <c r="C14" s="146"/>
      <c r="D14" s="25" cm="1">
        <f t="array" aca="1" ref="D14" ca="1">SUM(D2:D11 * $U$2:$U$11) / SUM($U$2:$U$11)</f>
        <v>8.3682597300042119</v>
      </c>
      <c r="E14" s="26" cm="1">
        <f t="array" aca="1" ref="E14" ca="1">SUM(E2:E11* $U$2:$U$11) / SUM($U$2:$U$11)</f>
        <v>6.1068983796022023</v>
      </c>
      <c r="F14" s="27" cm="1">
        <f t="array" aca="1" ref="F14" ca="1">SUM(F2:F11 * $U$2:$U$11) / SUM($U$2:$U$11)</f>
        <v>10.629621080406221</v>
      </c>
      <c r="G14" s="25" cm="1">
        <f t="array" aca="1" ref="G14" ca="1">SUM(G2:G11 * $V$2:$V$11) / SUM($V$2:$V$11)</f>
        <v>1.5772210374581186</v>
      </c>
      <c r="H14" s="26" cm="1">
        <f t="array" aca="1" ref="H14" ca="1">SUM(H2:H11* $V$2:$V$11) / SUM($V$2:$V$11)</f>
        <v>0.94465279495424082</v>
      </c>
      <c r="I14" s="27" cm="1">
        <f t="array" aca="1" ref="I14" ca="1">SUM(I2:I11 * $V$2:$V$11) / SUM($V$2:$V$11)</f>
        <v>2.0929208080752364</v>
      </c>
      <c r="J14" s="25" cm="1">
        <f t="array" aca="1" ref="J14" ca="1">SUM(J2:J11 * $W$2:$W$11) / SUM($W$2:$W$11)</f>
        <v>5.0182170570077336</v>
      </c>
      <c r="K14" s="26" cm="1">
        <f t="array" aca="1" ref="K14" ca="1">SUM(K2:K11* $W$2:$W$11) / SUM($W$2:$W$11)</f>
        <v>4.621190315728847</v>
      </c>
      <c r="L14" s="27" cm="1">
        <f t="array" aca="1" ref="L14" ca="1">SUM(L2:L11* $W$2:$W$11) / SUM($W$2:$W$11)</f>
        <v>5.4160323516275231</v>
      </c>
    </row>
    <row r="15" spans="1:31" ht="14" thickBot="1" x14ac:dyDescent="0.2">
      <c r="B15" s="146"/>
      <c r="C15" s="146"/>
    </row>
    <row r="16" spans="1:31" ht="42" x14ac:dyDescent="0.15">
      <c r="D16" s="28" t="s">
        <v>76</v>
      </c>
      <c r="E16" s="29" t="s">
        <v>77</v>
      </c>
      <c r="F16" s="30" t="s">
        <v>78</v>
      </c>
      <c r="G16" s="28" t="s">
        <v>79</v>
      </c>
      <c r="H16" s="29" t="s">
        <v>80</v>
      </c>
      <c r="I16" s="30" t="s">
        <v>81</v>
      </c>
      <c r="J16" s="28" t="s">
        <v>82</v>
      </c>
      <c r="K16" s="29" t="s">
        <v>83</v>
      </c>
      <c r="L16" s="30" t="s">
        <v>84</v>
      </c>
    </row>
    <row r="17" spans="3:16" ht="14" thickBot="1" x14ac:dyDescent="0.2">
      <c r="D17" s="31">
        <f ca="1">D14 * $R$2</f>
        <v>1.9163314781709646</v>
      </c>
      <c r="E17" s="32">
        <f ca="1">E14* $R$2</f>
        <v>1.3984797289289044</v>
      </c>
      <c r="F17" s="33">
        <f ca="1">F14* $R$2</f>
        <v>2.4341832274130244</v>
      </c>
      <c r="G17" s="34">
        <f ca="1">G14 * $R$3</f>
        <v>1.5377905115216656E-3</v>
      </c>
      <c r="H17" s="35">
        <f ca="1">H14* $R$3</f>
        <v>9.2103647508038472E-4</v>
      </c>
      <c r="I17" s="36">
        <f ca="1">I14* $R$3</f>
        <v>2.0405977878733554E-3</v>
      </c>
      <c r="J17" s="34">
        <f ca="1">J14 * R4</f>
        <v>0.10287344966865854</v>
      </c>
      <c r="K17" s="35">
        <f ca="1">K14* R4</f>
        <v>9.4734401472441374E-2</v>
      </c>
      <c r="L17" s="36">
        <f ca="1">L14* R4</f>
        <v>0.11102866320836423</v>
      </c>
    </row>
    <row r="18" spans="3:16" x14ac:dyDescent="0.15">
      <c r="C18" s="37" t="s">
        <v>85</v>
      </c>
      <c r="D18" s="38">
        <f ca="1">D17*365</f>
        <v>699.4609895324021</v>
      </c>
      <c r="E18" s="38">
        <f t="shared" ref="E18:L18" ca="1" si="5">E17*365</f>
        <v>510.4451010590501</v>
      </c>
      <c r="F18" s="38">
        <f t="shared" ca="1" si="5"/>
        <v>888.47687800575386</v>
      </c>
      <c r="G18" s="38">
        <f t="shared" ca="1" si="5"/>
        <v>0.56129353670540794</v>
      </c>
      <c r="H18" s="38">
        <f t="shared" ca="1" si="5"/>
        <v>0.3361783134043404</v>
      </c>
      <c r="I18" s="38">
        <f t="shared" ca="1" si="5"/>
        <v>0.74481819257377468</v>
      </c>
      <c r="J18" s="38">
        <f t="shared" ca="1" si="5"/>
        <v>37.548809129060366</v>
      </c>
      <c r="K18" s="38">
        <f t="shared" ca="1" si="5"/>
        <v>34.5780565374411</v>
      </c>
      <c r="L18" s="38">
        <f t="shared" ca="1" si="5"/>
        <v>40.525462071052942</v>
      </c>
    </row>
    <row r="19" spans="3:16" ht="28" x14ac:dyDescent="0.15">
      <c r="C19" s="41" t="s">
        <v>86</v>
      </c>
      <c r="D19" s="149" t="str">
        <f ca="1">_xlfn.CONCAT("Moyenne: ",ROUND(SUM(D18,G18,J18),0)," kg CO2 pp/an; Estimation basse: ",ROUND(SUM(E18,H18,K18),0)," kg CO2 pp/an; Estimation haute: ",ROUND(SUM(F18,I18,L18),0)," kg CO2 pp/an")</f>
        <v>Moyenne: 738 kg CO2 pp/an; Estimation basse: 545 kg CO2 pp/an; Estimation haute: 930 kg CO2 pp/an</v>
      </c>
      <c r="E19" s="149"/>
      <c r="F19" s="149"/>
      <c r="G19" s="149"/>
      <c r="H19" s="149"/>
      <c r="I19" s="149"/>
      <c r="J19" s="149"/>
      <c r="K19" s="149"/>
      <c r="L19" s="149"/>
    </row>
    <row r="20" spans="3:16" x14ac:dyDescent="0.15">
      <c r="D20" s="148" t="s">
        <v>87</v>
      </c>
      <c r="E20" s="148"/>
      <c r="F20" s="148"/>
      <c r="G20" s="148"/>
      <c r="H20" s="148"/>
      <c r="I20" s="148"/>
      <c r="J20" s="148"/>
      <c r="K20" s="148"/>
      <c r="L20" s="148"/>
    </row>
    <row r="27" spans="3:16" ht="16" x14ac:dyDescent="0.2">
      <c r="N27" s="39"/>
      <c r="O27" s="39"/>
      <c r="P27" s="39"/>
    </row>
    <row r="28" spans="3:16" ht="16" x14ac:dyDescent="0.2">
      <c r="N28" s="39"/>
      <c r="O28" s="39"/>
      <c r="P28" s="39"/>
    </row>
    <row r="29" spans="3:16" ht="16" x14ac:dyDescent="0.2">
      <c r="N29" s="39"/>
      <c r="O29" s="39"/>
      <c r="P29" s="39"/>
    </row>
    <row r="30" spans="3:16" ht="16" x14ac:dyDescent="0.2">
      <c r="N30" s="39"/>
      <c r="O30" s="39"/>
      <c r="P30" s="39"/>
    </row>
    <row r="31" spans="3:16" ht="16" x14ac:dyDescent="0.2">
      <c r="N31" s="39"/>
      <c r="O31" s="39"/>
      <c r="P31" s="39"/>
    </row>
    <row r="32" spans="3:16" ht="16" x14ac:dyDescent="0.2">
      <c r="N32" s="39"/>
      <c r="O32" s="39"/>
      <c r="P32" s="39"/>
    </row>
    <row r="33" spans="5:16" ht="16" x14ac:dyDescent="0.2">
      <c r="E33" s="114"/>
      <c r="N33" s="39"/>
      <c r="O33" s="39"/>
      <c r="P33" s="39"/>
    </row>
    <row r="34" spans="5:16" ht="16" x14ac:dyDescent="0.2">
      <c r="E34" s="114"/>
      <c r="N34" s="39"/>
      <c r="O34" s="39"/>
      <c r="P34" s="39"/>
    </row>
    <row r="35" spans="5:16" ht="16" x14ac:dyDescent="0.2">
      <c r="E35" s="114"/>
      <c r="N35" s="39"/>
      <c r="O35" s="39"/>
      <c r="P35" s="39"/>
    </row>
    <row r="36" spans="5:16" ht="16" x14ac:dyDescent="0.2">
      <c r="E36" s="114"/>
      <c r="N36" s="39"/>
      <c r="O36" s="39"/>
      <c r="P36" s="39"/>
    </row>
    <row r="37" spans="5:16" ht="16" x14ac:dyDescent="0.2">
      <c r="E37" s="114"/>
      <c r="N37" s="39"/>
      <c r="O37" s="39"/>
      <c r="P37" s="39"/>
    </row>
    <row r="38" spans="5:16" x14ac:dyDescent="0.15">
      <c r="E38" s="114"/>
    </row>
    <row r="39" spans="5:16" x14ac:dyDescent="0.15">
      <c r="E39" s="114"/>
    </row>
    <row r="40" spans="5:16" x14ac:dyDescent="0.15">
      <c r="E40" s="114"/>
    </row>
    <row r="41" spans="5:16" x14ac:dyDescent="0.15">
      <c r="E41" s="114"/>
    </row>
    <row r="42" spans="5:16" x14ac:dyDescent="0.15">
      <c r="E42" s="114"/>
    </row>
    <row r="43" spans="5:16" x14ac:dyDescent="0.15">
      <c r="E43" s="114"/>
    </row>
    <row r="44" spans="5:16" x14ac:dyDescent="0.15">
      <c r="E44" s="114"/>
    </row>
    <row r="45" spans="5:16" ht="16" x14ac:dyDescent="0.2">
      <c r="E45" s="39"/>
    </row>
    <row r="46" spans="5:16" ht="16" x14ac:dyDescent="0.2">
      <c r="E46" s="39"/>
    </row>
    <row r="47" spans="5:16" ht="16" x14ac:dyDescent="0.2">
      <c r="E47" s="39"/>
    </row>
  </sheetData>
  <mergeCells count="8">
    <mergeCell ref="Y12:AA12"/>
    <mergeCell ref="AC12:AE12"/>
    <mergeCell ref="U12:W12"/>
    <mergeCell ref="B14:C15"/>
    <mergeCell ref="B13:C13"/>
    <mergeCell ref="D20:L20"/>
    <mergeCell ref="D19:L19"/>
    <mergeCell ref="N12:O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69A3-B72A-FF41-B108-F81CBE20B886}">
  <sheetPr>
    <tabColor theme="9" tint="0.59999389629810485"/>
  </sheetPr>
  <dimension ref="A1:W33"/>
  <sheetViews>
    <sheetView workbookViewId="0">
      <selection activeCell="A13" sqref="A13:XFD13"/>
    </sheetView>
  </sheetViews>
  <sheetFormatPr baseColWidth="10" defaultRowHeight="16" x14ac:dyDescent="0.2"/>
  <cols>
    <col min="1" max="1" width="33.33203125" bestFit="1" customWidth="1"/>
    <col min="2" max="2" width="0.5" customWidth="1"/>
    <col min="20" max="20" width="14" bestFit="1" customWidth="1"/>
    <col min="22" max="23" width="10.83203125" style="139"/>
  </cols>
  <sheetData>
    <row r="1" spans="1:23" x14ac:dyDescent="0.2">
      <c r="C1" s="154" t="s">
        <v>91</v>
      </c>
      <c r="D1" s="155"/>
      <c r="E1" s="156"/>
      <c r="F1" s="157" t="s">
        <v>92</v>
      </c>
      <c r="G1" s="158"/>
      <c r="H1" s="159"/>
      <c r="I1" s="160" t="s">
        <v>93</v>
      </c>
      <c r="J1" s="161"/>
      <c r="K1" s="162"/>
      <c r="L1" s="3"/>
      <c r="M1" s="3"/>
      <c r="N1" s="3"/>
      <c r="O1" s="3"/>
      <c r="P1" s="3"/>
      <c r="Q1" s="3"/>
      <c r="R1" s="3"/>
      <c r="S1" s="3"/>
      <c r="T1" s="3"/>
    </row>
    <row r="2" spans="1:23" ht="2" customHeight="1" thickBot="1" x14ac:dyDescent="0.25">
      <c r="C2" s="117">
        <v>2</v>
      </c>
      <c r="D2" s="3">
        <v>6</v>
      </c>
      <c r="E2" s="118">
        <v>10</v>
      </c>
      <c r="F2" s="117">
        <v>2</v>
      </c>
      <c r="G2" s="3">
        <v>6</v>
      </c>
      <c r="H2" s="118">
        <v>10</v>
      </c>
      <c r="I2" s="117"/>
      <c r="J2" s="3"/>
      <c r="K2" s="118"/>
      <c r="L2" s="3"/>
      <c r="M2" s="3"/>
      <c r="N2" s="3"/>
      <c r="O2" s="3"/>
      <c r="P2" s="3"/>
      <c r="Q2" s="3"/>
      <c r="R2" s="3"/>
      <c r="S2" s="3"/>
      <c r="T2" s="3"/>
    </row>
    <row r="3" spans="1:23" ht="17" thickBot="1" x14ac:dyDescent="0.25">
      <c r="C3" s="130" t="s">
        <v>88</v>
      </c>
      <c r="D3" s="131" t="s">
        <v>89</v>
      </c>
      <c r="E3" s="132" t="s">
        <v>90</v>
      </c>
      <c r="F3" s="130" t="s">
        <v>88</v>
      </c>
      <c r="G3" s="131" t="s">
        <v>89</v>
      </c>
      <c r="H3" s="132" t="s">
        <v>90</v>
      </c>
      <c r="I3" s="130" t="s">
        <v>88</v>
      </c>
      <c r="J3" s="131" t="s">
        <v>89</v>
      </c>
      <c r="K3" s="132" t="s">
        <v>90</v>
      </c>
      <c r="L3" s="152" t="s">
        <v>88</v>
      </c>
      <c r="M3" s="153"/>
      <c r="N3" s="152" t="s">
        <v>89</v>
      </c>
      <c r="O3" s="153"/>
      <c r="P3" s="152" t="s">
        <v>90</v>
      </c>
      <c r="Q3" s="153"/>
      <c r="R3" s="65" t="s">
        <v>94</v>
      </c>
      <c r="S3" s="133" t="s">
        <v>95</v>
      </c>
      <c r="T3" s="142" t="s">
        <v>96</v>
      </c>
      <c r="W3" s="139" t="s">
        <v>105</v>
      </c>
    </row>
    <row r="4" spans="1:23" x14ac:dyDescent="0.2">
      <c r="A4" s="8" t="s">
        <v>17</v>
      </c>
      <c r="B4" s="15" t="s">
        <v>44</v>
      </c>
      <c r="C4" s="134">
        <f ca="1">MIN(INDIRECT(ADDRESS(2,C$2,,,$B4)&amp;":"&amp;ADDRESS(1000,C$2)))</f>
        <v>1.76255398320205</v>
      </c>
      <c r="D4" s="61">
        <f t="shared" ref="D4:E16" ca="1" si="0">MIN(INDIRECT(ADDRESS(2,D$2,,,$B4)&amp;":"&amp;ADDRESS(1000,D$2)))</f>
        <v>1.47405161084906</v>
      </c>
      <c r="E4" s="135">
        <f t="shared" ca="1" si="0"/>
        <v>9.9114491718005606</v>
      </c>
      <c r="F4" s="134">
        <f ca="1">MAX(INDIRECT(ADDRESS(2,F$2,,,$B4)&amp;":"&amp;ADDRESS(1000,F$2)))</f>
        <v>8.1422730864366102</v>
      </c>
      <c r="G4" s="61">
        <f t="shared" ref="G4:H16" ca="1" si="1">MAX(INDIRECT(ADDRESS(2,G$2,,,$B4)&amp;":"&amp;ADDRESS(1000,G$2)))</f>
        <v>2.7345802790021398</v>
      </c>
      <c r="H4" s="135">
        <f t="shared" ca="1" si="1"/>
        <v>20.226134900750701</v>
      </c>
      <c r="I4" s="119">
        <f ca="1">F4-C4</f>
        <v>6.3797191032345602</v>
      </c>
      <c r="J4" s="120">
        <f ca="1">G4-D4</f>
        <v>1.2605286681530798</v>
      </c>
      <c r="K4" s="121">
        <f ca="1">H4-E4</f>
        <v>10.31468572895014</v>
      </c>
      <c r="L4" s="117">
        <f ca="1">RANK(I4,I$4:I$16)</f>
        <v>2</v>
      </c>
      <c r="M4" s="129" t="str">
        <f ca="1">IF(L4&gt;13-D$20,"remove","keep")</f>
        <v>keep</v>
      </c>
      <c r="N4" s="117">
        <f ca="1">RANK(J4,J$4:J$16)</f>
        <v>3</v>
      </c>
      <c r="O4" s="129" t="str">
        <f ca="1">IF(N4&gt;13-D$20,"remove","keep")</f>
        <v>keep</v>
      </c>
      <c r="P4" s="117">
        <f ca="1">RANK(K4,K$4:K$16)</f>
        <v>1</v>
      </c>
      <c r="Q4" s="129" t="str">
        <f ca="1">IF(P4&gt;13-D$20,"remove","keep")</f>
        <v>keep</v>
      </c>
      <c r="R4" s="117">
        <f ca="1">L4+N4+P4</f>
        <v>6</v>
      </c>
      <c r="S4" s="3">
        <f ca="1">RANK(R4,R$4:R$16,1)</f>
        <v>1</v>
      </c>
      <c r="T4" s="122" t="str">
        <f ca="1">IF(S4&gt;13-D$20,"remove","keep")</f>
        <v>keep</v>
      </c>
      <c r="U4" s="139" t="str">
        <f ca="1">IF(T4="remove",A4,"")</f>
        <v/>
      </c>
      <c r="V4" s="139" t="str">
        <f ca="1">U4</f>
        <v/>
      </c>
      <c r="W4" s="139" t="s">
        <v>105</v>
      </c>
    </row>
    <row r="5" spans="1:23" x14ac:dyDescent="0.2">
      <c r="A5" s="10" t="s">
        <v>18</v>
      </c>
      <c r="B5" s="15" t="s">
        <v>45</v>
      </c>
      <c r="C5" s="134">
        <f t="shared" ref="C5:C16" ca="1" si="2">MIN(INDIRECT(ADDRESS(2,C$2,,,$B5)&amp;":"&amp;ADDRESS(1000,C$2)))</f>
        <v>5.9932089373721402E-2</v>
      </c>
      <c r="D5" s="61">
        <f t="shared" ca="1" si="0"/>
        <v>1.2458389658408</v>
      </c>
      <c r="E5" s="135">
        <f t="shared" ca="1" si="0"/>
        <v>5.3654436279831303</v>
      </c>
      <c r="F5" s="134">
        <f t="shared" ref="F5:F16" ca="1" si="3">MAX(INDIRECT(ADDRESS(2,F$2,,,$B5)&amp;":"&amp;ADDRESS(1000,F$2)))</f>
        <v>6.2487149424735202</v>
      </c>
      <c r="G5" s="61">
        <f t="shared" ca="1" si="1"/>
        <v>2.5703549745198901</v>
      </c>
      <c r="H5" s="135">
        <f t="shared" ca="1" si="1"/>
        <v>12.853574823579899</v>
      </c>
      <c r="I5" s="119">
        <f t="shared" ref="I5:I16" ca="1" si="4">F5-C5</f>
        <v>6.1887828530997986</v>
      </c>
      <c r="J5" s="120">
        <f t="shared" ref="J5:J16" ca="1" si="5">G5-D5</f>
        <v>1.3245160086790901</v>
      </c>
      <c r="K5" s="121">
        <f t="shared" ref="K5:K16" ca="1" si="6">H5-E5</f>
        <v>7.4881311955967691</v>
      </c>
      <c r="L5" s="117">
        <f t="shared" ref="L5:L16" ca="1" si="7">RANK(I5,I$4:I$16)</f>
        <v>4</v>
      </c>
      <c r="M5" s="129" t="str">
        <f t="shared" ref="M5:M16" ca="1" si="8">IF(L5&gt;13-D$20,"remove","keep")</f>
        <v>keep</v>
      </c>
      <c r="N5" s="117">
        <f t="shared" ref="N5:N16" ca="1" si="9">RANK(J5,J$4:J$16)</f>
        <v>2</v>
      </c>
      <c r="O5" s="129" t="str">
        <f t="shared" ref="O5:O16" ca="1" si="10">IF(N5&gt;13-D$20,"remove","keep")</f>
        <v>keep</v>
      </c>
      <c r="P5" s="117">
        <f t="shared" ref="P5:P16" ca="1" si="11">RANK(L5,L$4:L$16)</f>
        <v>10</v>
      </c>
      <c r="Q5" s="129" t="str">
        <f t="shared" ref="Q5:Q16" ca="1" si="12">IF(P5&gt;13-D$20,"remove","keep")</f>
        <v>keep</v>
      </c>
      <c r="R5" s="117">
        <f t="shared" ref="R5:R16" ca="1" si="13">L5+N5+P5</f>
        <v>16</v>
      </c>
      <c r="S5" s="3">
        <f t="shared" ref="S5:S16" ca="1" si="14">RANK(R5,R$4:R$16,1)</f>
        <v>3</v>
      </c>
      <c r="T5" s="123" t="str">
        <f t="shared" ref="T5:T16" ca="1" si="15">IF(S5&gt;13-D$20,"remove","keep")</f>
        <v>keep</v>
      </c>
      <c r="U5" s="139" t="str">
        <f t="shared" ref="U5:U16" ca="1" si="16">IF(T5="remove",A5,"")</f>
        <v/>
      </c>
      <c r="V5" s="139" t="str">
        <f ca="1">IF(V4="",U5,_xlfn.CONCAT(IF(U5="",_xlfn.CONCAT(V4,U5),_xlfn.CONCAT(V4,", ")),U5))</f>
        <v/>
      </c>
      <c r="W5" s="139" t="s">
        <v>105</v>
      </c>
    </row>
    <row r="6" spans="1:23" x14ac:dyDescent="0.2">
      <c r="A6" s="10" t="s">
        <v>19</v>
      </c>
      <c r="B6" s="16" t="s">
        <v>46</v>
      </c>
      <c r="C6" s="134">
        <f t="shared" ca="1" si="2"/>
        <v>4.4031182541278904</v>
      </c>
      <c r="D6" s="61">
        <f t="shared" ca="1" si="0"/>
        <v>0.91223772839974304</v>
      </c>
      <c r="E6" s="135">
        <f t="shared" ca="1" si="0"/>
        <v>10.4017559739702</v>
      </c>
      <c r="F6" s="134">
        <f t="shared" ca="1" si="3"/>
        <v>10.930820596475799</v>
      </c>
      <c r="G6" s="61">
        <f t="shared" ca="1" si="1"/>
        <v>2.0601221723100398</v>
      </c>
      <c r="H6" s="135">
        <f t="shared" ca="1" si="1"/>
        <v>18.8205604684752</v>
      </c>
      <c r="I6" s="119">
        <f t="shared" ca="1" si="4"/>
        <v>6.5277023423479088</v>
      </c>
      <c r="J6" s="120">
        <f t="shared" ca="1" si="5"/>
        <v>1.1478844439102969</v>
      </c>
      <c r="K6" s="121">
        <f t="shared" ca="1" si="6"/>
        <v>8.4188044945050002</v>
      </c>
      <c r="L6" s="117">
        <f t="shared" ca="1" si="7"/>
        <v>1</v>
      </c>
      <c r="M6" s="129" t="str">
        <f t="shared" ca="1" si="8"/>
        <v>keep</v>
      </c>
      <c r="N6" s="117">
        <f t="shared" ca="1" si="9"/>
        <v>6</v>
      </c>
      <c r="O6" s="129" t="str">
        <f t="shared" ca="1" si="10"/>
        <v>keep</v>
      </c>
      <c r="P6" s="117">
        <f t="shared" ca="1" si="11"/>
        <v>13</v>
      </c>
      <c r="Q6" s="129" t="str">
        <f t="shared" ca="1" si="12"/>
        <v>remove</v>
      </c>
      <c r="R6" s="117">
        <f t="shared" ca="1" si="13"/>
        <v>20</v>
      </c>
      <c r="S6" s="3">
        <f t="shared" ca="1" si="14"/>
        <v>6</v>
      </c>
      <c r="T6" s="123" t="str">
        <f t="shared" ca="1" si="15"/>
        <v>keep</v>
      </c>
      <c r="U6" s="139" t="str">
        <f t="shared" ca="1" si="16"/>
        <v/>
      </c>
      <c r="V6" s="139" t="str">
        <f t="shared" ref="V6:V16" ca="1" si="17">IF(V5="",U6,_xlfn.CONCAT(IF(U6="",_xlfn.CONCAT(V5,U6),_xlfn.CONCAT(V5,", ")),U6))</f>
        <v/>
      </c>
      <c r="W6" s="139" t="s">
        <v>105</v>
      </c>
    </row>
    <row r="7" spans="1:23" x14ac:dyDescent="0.2">
      <c r="A7" s="10" t="s">
        <v>20</v>
      </c>
      <c r="B7" s="15" t="s">
        <v>47</v>
      </c>
      <c r="C7" s="134">
        <f t="shared" ca="1" si="2"/>
        <v>1.2656182278542301</v>
      </c>
      <c r="D7" s="61">
        <f t="shared" ca="1" si="0"/>
        <v>1.05614979561017</v>
      </c>
      <c r="E7" s="135">
        <f t="shared" ca="1" si="0"/>
        <v>6.15460254982065</v>
      </c>
      <c r="F7" s="134">
        <f t="shared" ca="1" si="3"/>
        <v>6.13597600641521</v>
      </c>
      <c r="G7" s="61">
        <f t="shared" ca="1" si="1"/>
        <v>1.94938173003753</v>
      </c>
      <c r="H7" s="135">
        <f t="shared" ca="1" si="1"/>
        <v>12.7034124279923</v>
      </c>
      <c r="I7" s="119">
        <f t="shared" ca="1" si="4"/>
        <v>4.8703577785609795</v>
      </c>
      <c r="J7" s="120">
        <f t="shared" ca="1" si="5"/>
        <v>0.89323193442736004</v>
      </c>
      <c r="K7" s="121">
        <f t="shared" ca="1" si="6"/>
        <v>6.5488098781716495</v>
      </c>
      <c r="L7" s="117">
        <f t="shared" ca="1" si="7"/>
        <v>8</v>
      </c>
      <c r="M7" s="129" t="str">
        <f t="shared" ca="1" si="8"/>
        <v>keep</v>
      </c>
      <c r="N7" s="117">
        <f t="shared" ca="1" si="9"/>
        <v>8</v>
      </c>
      <c r="O7" s="129" t="str">
        <f t="shared" ca="1" si="10"/>
        <v>keep</v>
      </c>
      <c r="P7" s="117">
        <f t="shared" ca="1" si="11"/>
        <v>6</v>
      </c>
      <c r="Q7" s="129" t="str">
        <f t="shared" ca="1" si="12"/>
        <v>keep</v>
      </c>
      <c r="R7" s="117">
        <f t="shared" ca="1" si="13"/>
        <v>22</v>
      </c>
      <c r="S7" s="3">
        <f t="shared" ca="1" si="14"/>
        <v>8</v>
      </c>
      <c r="T7" s="123" t="str">
        <f t="shared" ca="1" si="15"/>
        <v>keep</v>
      </c>
      <c r="U7" s="139" t="str">
        <f t="shared" ca="1" si="16"/>
        <v/>
      </c>
      <c r="V7" s="139" t="str">
        <f t="shared" ca="1" si="17"/>
        <v/>
      </c>
      <c r="W7" s="139" t="s">
        <v>105</v>
      </c>
    </row>
    <row r="8" spans="1:23" x14ac:dyDescent="0.2">
      <c r="A8" s="10" t="s">
        <v>21</v>
      </c>
      <c r="B8" s="15" t="s">
        <v>48</v>
      </c>
      <c r="C8" s="134">
        <f t="shared" ca="1" si="2"/>
        <v>4.9554956594239004</v>
      </c>
      <c r="D8" s="61">
        <f t="shared" ca="1" si="0"/>
        <v>1.7898565588050801</v>
      </c>
      <c r="E8" s="135">
        <f t="shared" ca="1" si="0"/>
        <v>11.255459251787601</v>
      </c>
      <c r="F8" s="134">
        <f t="shared" ca="1" si="3"/>
        <v>8.4000226128665201</v>
      </c>
      <c r="G8" s="61">
        <f t="shared" ca="1" si="1"/>
        <v>1.8840575820535199</v>
      </c>
      <c r="H8" s="135">
        <f t="shared" ca="1" si="1"/>
        <v>17.932950069952</v>
      </c>
      <c r="I8" s="119">
        <f t="shared" ca="1" si="4"/>
        <v>3.4445269534426197</v>
      </c>
      <c r="J8" s="120">
        <f t="shared" ca="1" si="5"/>
        <v>9.4201023248439819E-2</v>
      </c>
      <c r="K8" s="121">
        <f t="shared" ca="1" si="6"/>
        <v>6.677490818164399</v>
      </c>
      <c r="L8" s="117">
        <f t="shared" ca="1" si="7"/>
        <v>12</v>
      </c>
      <c r="M8" s="129" t="str">
        <f t="shared" ca="1" si="8"/>
        <v>remove</v>
      </c>
      <c r="N8" s="117">
        <f t="shared" ca="1" si="9"/>
        <v>13</v>
      </c>
      <c r="O8" s="129" t="str">
        <f t="shared" ca="1" si="10"/>
        <v>remove</v>
      </c>
      <c r="P8" s="117">
        <f t="shared" ca="1" si="11"/>
        <v>2</v>
      </c>
      <c r="Q8" s="129" t="str">
        <f t="shared" ca="1" si="12"/>
        <v>keep</v>
      </c>
      <c r="R8" s="117">
        <f t="shared" ca="1" si="13"/>
        <v>27</v>
      </c>
      <c r="S8" s="3">
        <f t="shared" ca="1" si="14"/>
        <v>13</v>
      </c>
      <c r="T8" s="123" t="str">
        <f t="shared" ca="1" si="15"/>
        <v>remove</v>
      </c>
      <c r="U8" s="139" t="str">
        <f t="shared" ca="1" si="16"/>
        <v>Entropie utilisation du sol</v>
      </c>
      <c r="V8" s="139" t="str">
        <f t="shared" ca="1" si="17"/>
        <v>Entropie utilisation du sol</v>
      </c>
      <c r="W8" s="139" t="s">
        <v>105</v>
      </c>
    </row>
    <row r="9" spans="1:23" x14ac:dyDescent="0.2">
      <c r="A9" s="10" t="s">
        <v>22</v>
      </c>
      <c r="B9" s="15" t="s">
        <v>49</v>
      </c>
      <c r="C9" s="134">
        <f t="shared" ca="1" si="2"/>
        <v>1.08475623862395</v>
      </c>
      <c r="D9" s="61">
        <f t="shared" ca="1" si="0"/>
        <v>1.5630773192751499</v>
      </c>
      <c r="E9" s="135">
        <f t="shared" ca="1" si="0"/>
        <v>8.0220462803384507</v>
      </c>
      <c r="F9" s="134">
        <f t="shared" ca="1" si="3"/>
        <v>5.6944083807214998</v>
      </c>
      <c r="G9" s="61">
        <f t="shared" ca="1" si="1"/>
        <v>1.9143731198732901</v>
      </c>
      <c r="H9" s="135">
        <f t="shared" ca="1" si="1"/>
        <v>12.258695469582999</v>
      </c>
      <c r="I9" s="119">
        <f t="shared" ca="1" si="4"/>
        <v>4.6096521420975503</v>
      </c>
      <c r="J9" s="120">
        <f t="shared" ca="1" si="5"/>
        <v>0.35129580059814014</v>
      </c>
      <c r="K9" s="121">
        <f t="shared" ca="1" si="6"/>
        <v>4.2366491892445488</v>
      </c>
      <c r="L9" s="117">
        <f t="shared" ca="1" si="7"/>
        <v>9</v>
      </c>
      <c r="M9" s="129" t="str">
        <f t="shared" ca="1" si="8"/>
        <v>keep</v>
      </c>
      <c r="N9" s="117">
        <f t="shared" ca="1" si="9"/>
        <v>12</v>
      </c>
      <c r="O9" s="129" t="str">
        <f t="shared" ca="1" si="10"/>
        <v>remove</v>
      </c>
      <c r="P9" s="117">
        <f t="shared" ca="1" si="11"/>
        <v>5</v>
      </c>
      <c r="Q9" s="129" t="str">
        <f t="shared" ca="1" si="12"/>
        <v>keep</v>
      </c>
      <c r="R9" s="117">
        <f t="shared" ca="1" si="13"/>
        <v>26</v>
      </c>
      <c r="S9" s="3">
        <f t="shared" ca="1" si="14"/>
        <v>12</v>
      </c>
      <c r="T9" s="123" t="str">
        <f t="shared" ca="1" si="15"/>
        <v>remove</v>
      </c>
      <c r="U9" s="139" t="str">
        <f t="shared" ca="1" si="16"/>
        <v>N. intersections feux rouges (/km2)</v>
      </c>
      <c r="V9" s="139" t="str">
        <f t="shared" ca="1" si="17"/>
        <v>Entropie utilisation du sol, N. intersections feux rouges (/km2)</v>
      </c>
      <c r="W9" s="139" t="s">
        <v>105</v>
      </c>
    </row>
    <row r="10" spans="1:23" x14ac:dyDescent="0.2">
      <c r="A10" s="10" t="s">
        <v>23</v>
      </c>
      <c r="B10" s="15" t="s">
        <v>50</v>
      </c>
      <c r="C10" s="134">
        <f t="shared" ca="1" si="2"/>
        <v>4.9694387812325802</v>
      </c>
      <c r="D10" s="61">
        <f t="shared" ca="1" si="0"/>
        <v>1.4611882794440101</v>
      </c>
      <c r="E10" s="135">
        <f t="shared" ca="1" si="0"/>
        <v>10.6123086110548</v>
      </c>
      <c r="F10" s="134">
        <f t="shared" ca="1" si="3"/>
        <v>7.2761789493768196</v>
      </c>
      <c r="G10" s="61">
        <f t="shared" ca="1" si="1"/>
        <v>1.99197299001874</v>
      </c>
      <c r="H10" s="135">
        <f t="shared" ca="1" si="1"/>
        <v>14.993366498318199</v>
      </c>
      <c r="I10" s="119">
        <f t="shared" ca="1" si="4"/>
        <v>2.3067401681442394</v>
      </c>
      <c r="J10" s="120">
        <f t="shared" ca="1" si="5"/>
        <v>0.53078471057472987</v>
      </c>
      <c r="K10" s="121">
        <f t="shared" ca="1" si="6"/>
        <v>4.381057887263399</v>
      </c>
      <c r="L10" s="117">
        <f t="shared" ca="1" si="7"/>
        <v>13</v>
      </c>
      <c r="M10" s="129" t="str">
        <f t="shared" ca="1" si="8"/>
        <v>remove</v>
      </c>
      <c r="N10" s="117">
        <f t="shared" ca="1" si="9"/>
        <v>11</v>
      </c>
      <c r="O10" s="129" t="str">
        <f t="shared" ca="1" si="10"/>
        <v>remove</v>
      </c>
      <c r="P10" s="117">
        <f t="shared" ca="1" si="11"/>
        <v>1</v>
      </c>
      <c r="Q10" s="129" t="str">
        <f t="shared" ca="1" si="12"/>
        <v>keep</v>
      </c>
      <c r="R10" s="117">
        <f t="shared" ca="1" si="13"/>
        <v>25</v>
      </c>
      <c r="S10" s="3">
        <f t="shared" ca="1" si="14"/>
        <v>11</v>
      </c>
      <c r="T10" s="123" t="str">
        <f t="shared" ca="1" si="15"/>
        <v>remove</v>
      </c>
      <c r="U10" s="139" t="str">
        <f t="shared" ca="1" si="16"/>
        <v>Charge max. du réseau (voit/j)</v>
      </c>
      <c r="V10" s="139" t="str">
        <f t="shared" ca="1" si="17"/>
        <v>Entropie utilisation du sol, N. intersections feux rouges (/km2), Charge max. du réseau (voit/j)</v>
      </c>
      <c r="W10" s="139" t="s">
        <v>105</v>
      </c>
    </row>
    <row r="11" spans="1:23" x14ac:dyDescent="0.2">
      <c r="A11" s="10" t="s">
        <v>24</v>
      </c>
      <c r="B11" s="15" t="s">
        <v>51</v>
      </c>
      <c r="C11" s="134">
        <f t="shared" ca="1" si="2"/>
        <v>5.0744513862779801</v>
      </c>
      <c r="D11" s="61">
        <f t="shared" ca="1" si="0"/>
        <v>0.68599353303847399</v>
      </c>
      <c r="E11" s="135">
        <f t="shared" ca="1" si="0"/>
        <v>11.5092637023316</v>
      </c>
      <c r="F11" s="134">
        <f t="shared" ca="1" si="3"/>
        <v>8.6965101624481704</v>
      </c>
      <c r="G11" s="61">
        <f t="shared" ca="1" si="1"/>
        <v>2.1715531452477501</v>
      </c>
      <c r="H11" s="135">
        <f t="shared" ca="1" si="1"/>
        <v>18.8443017292823</v>
      </c>
      <c r="I11" s="119">
        <f t="shared" ca="1" si="4"/>
        <v>3.6220587761701903</v>
      </c>
      <c r="J11" s="120">
        <f t="shared" ca="1" si="5"/>
        <v>1.485559612209276</v>
      </c>
      <c r="K11" s="121">
        <f t="shared" ca="1" si="6"/>
        <v>7.3350380269507003</v>
      </c>
      <c r="L11" s="117">
        <f t="shared" ca="1" si="7"/>
        <v>10</v>
      </c>
      <c r="M11" s="129" t="str">
        <f t="shared" ca="1" si="8"/>
        <v>keep</v>
      </c>
      <c r="N11" s="117">
        <f t="shared" ca="1" si="9"/>
        <v>1</v>
      </c>
      <c r="O11" s="129" t="str">
        <f t="shared" ca="1" si="10"/>
        <v>keep</v>
      </c>
      <c r="P11" s="117">
        <f t="shared" ca="1" si="11"/>
        <v>4</v>
      </c>
      <c r="Q11" s="129" t="str">
        <f t="shared" ca="1" si="12"/>
        <v>keep</v>
      </c>
      <c r="R11" s="117">
        <f t="shared" ca="1" si="13"/>
        <v>15</v>
      </c>
      <c r="S11" s="3">
        <f t="shared" ca="1" si="14"/>
        <v>2</v>
      </c>
      <c r="T11" s="123" t="str">
        <f t="shared" ca="1" si="15"/>
        <v>keep</v>
      </c>
      <c r="U11" s="139" t="str">
        <f t="shared" ca="1" si="16"/>
        <v/>
      </c>
      <c r="V11" s="139" t="str">
        <f t="shared" ca="1" si="17"/>
        <v>Entropie utilisation du sol, N. intersections feux rouges (/km2), Charge max. du réseau (voit/j)</v>
      </c>
      <c r="W11" s="139" t="s">
        <v>105</v>
      </c>
    </row>
    <row r="12" spans="1:23" x14ac:dyDescent="0.2">
      <c r="A12" s="10" t="s">
        <v>25</v>
      </c>
      <c r="B12" s="15" t="s">
        <v>52</v>
      </c>
      <c r="C12" s="134">
        <f t="shared" ca="1" si="2"/>
        <v>5.4717685296566598</v>
      </c>
      <c r="D12" s="61">
        <f t="shared" ca="1" si="0"/>
        <v>1.1461000595820501</v>
      </c>
      <c r="E12" s="135">
        <f t="shared" ca="1" si="0"/>
        <v>9.6760082295600096</v>
      </c>
      <c r="F12" s="134">
        <f t="shared" ca="1" si="3"/>
        <v>10.4562113731546</v>
      </c>
      <c r="G12" s="61">
        <f t="shared" ca="1" si="1"/>
        <v>2.0889041542144802</v>
      </c>
      <c r="H12" s="135">
        <f t="shared" ca="1" si="1"/>
        <v>16.072729703721201</v>
      </c>
      <c r="I12" s="119">
        <f t="shared" ca="1" si="4"/>
        <v>4.9844428434979404</v>
      </c>
      <c r="J12" s="120">
        <f t="shared" ca="1" si="5"/>
        <v>0.94280409463243009</v>
      </c>
      <c r="K12" s="121">
        <f t="shared" ca="1" si="6"/>
        <v>6.3967214741611915</v>
      </c>
      <c r="L12" s="117">
        <f t="shared" ca="1" si="7"/>
        <v>7</v>
      </c>
      <c r="M12" s="129" t="str">
        <f t="shared" ca="1" si="8"/>
        <v>keep</v>
      </c>
      <c r="N12" s="117">
        <f t="shared" ca="1" si="9"/>
        <v>7</v>
      </c>
      <c r="O12" s="129" t="str">
        <f t="shared" ca="1" si="10"/>
        <v>keep</v>
      </c>
      <c r="P12" s="117">
        <f t="shared" ca="1" si="11"/>
        <v>7</v>
      </c>
      <c r="Q12" s="129" t="str">
        <f t="shared" ca="1" si="12"/>
        <v>keep</v>
      </c>
      <c r="R12" s="117">
        <f t="shared" ca="1" si="13"/>
        <v>21</v>
      </c>
      <c r="S12" s="3">
        <f t="shared" ca="1" si="14"/>
        <v>7</v>
      </c>
      <c r="T12" s="123" t="str">
        <f t="shared" ca="1" si="15"/>
        <v>keep</v>
      </c>
      <c r="U12" s="139" t="str">
        <f t="shared" ca="1" si="16"/>
        <v/>
      </c>
      <c r="V12" s="139" t="str">
        <f t="shared" ca="1" si="17"/>
        <v>Entropie utilisation du sol, N. intersections feux rouges (/km2), Charge max. du réseau (voit/j)</v>
      </c>
      <c r="W12" s="139" t="s">
        <v>105</v>
      </c>
    </row>
    <row r="13" spans="1:23" x14ac:dyDescent="0.2">
      <c r="A13" s="10" t="s">
        <v>26</v>
      </c>
      <c r="B13" s="15" t="s">
        <v>53</v>
      </c>
      <c r="C13" s="134">
        <f t="shared" ca="1" si="2"/>
        <v>1.9600016379902601</v>
      </c>
      <c r="D13" s="61">
        <f t="shared" ca="1" si="0"/>
        <v>1.41128859774925</v>
      </c>
      <c r="E13" s="135">
        <f t="shared" ca="1" si="0"/>
        <v>10.6843106184417</v>
      </c>
      <c r="F13" s="134">
        <f t="shared" ca="1" si="3"/>
        <v>7.5145656235017899</v>
      </c>
      <c r="G13" s="61">
        <f t="shared" ca="1" si="1"/>
        <v>2.6408196160712301</v>
      </c>
      <c r="H13" s="135">
        <f t="shared" ca="1" si="1"/>
        <v>16.936684430451599</v>
      </c>
      <c r="I13" s="119">
        <f t="shared" ca="1" si="4"/>
        <v>5.5545639855115301</v>
      </c>
      <c r="J13" s="120">
        <f t="shared" ca="1" si="5"/>
        <v>1.2295310183219801</v>
      </c>
      <c r="K13" s="121">
        <f t="shared" ca="1" si="6"/>
        <v>6.2523738120098997</v>
      </c>
      <c r="L13" s="117">
        <f t="shared" ca="1" si="7"/>
        <v>5</v>
      </c>
      <c r="M13" s="129" t="str">
        <f t="shared" ca="1" si="8"/>
        <v>keep</v>
      </c>
      <c r="N13" s="117">
        <f t="shared" ca="1" si="9"/>
        <v>4</v>
      </c>
      <c r="O13" s="129" t="str">
        <f t="shared" ca="1" si="10"/>
        <v>keep</v>
      </c>
      <c r="P13" s="117">
        <f t="shared" ca="1" si="11"/>
        <v>9</v>
      </c>
      <c r="Q13" s="129" t="str">
        <f t="shared" ca="1" si="12"/>
        <v>keep</v>
      </c>
      <c r="R13" s="117">
        <f t="shared" ca="1" si="13"/>
        <v>18</v>
      </c>
      <c r="S13" s="3">
        <f t="shared" ca="1" si="14"/>
        <v>4</v>
      </c>
      <c r="T13" s="123" t="str">
        <f t="shared" ca="1" si="15"/>
        <v>keep</v>
      </c>
      <c r="U13" s="139" t="str">
        <f t="shared" ca="1" si="16"/>
        <v/>
      </c>
      <c r="V13" s="139" t="str">
        <f t="shared" ca="1" si="17"/>
        <v>Entropie utilisation du sol, N. intersections feux rouges (/km2), Charge max. du réseau (voit/j)</v>
      </c>
      <c r="W13" s="139" t="s">
        <v>105</v>
      </c>
    </row>
    <row r="14" spans="1:23" x14ac:dyDescent="0.2">
      <c r="A14" s="10" t="s">
        <v>27</v>
      </c>
      <c r="B14" s="15" t="s">
        <v>54</v>
      </c>
      <c r="C14" s="134">
        <f t="shared" ca="1" si="2"/>
        <v>4.8432719999999998</v>
      </c>
      <c r="D14" s="61">
        <f t="shared" ca="1" si="0"/>
        <v>1.3644675204000001</v>
      </c>
      <c r="E14" s="135">
        <f t="shared" ca="1" si="0"/>
        <v>11.888032000000001</v>
      </c>
      <c r="F14" s="134">
        <f t="shared" ca="1" si="3"/>
        <v>11.041506999999999</v>
      </c>
      <c r="G14" s="61">
        <f t="shared" ca="1" si="1"/>
        <v>2.1180978369000001</v>
      </c>
      <c r="H14" s="135">
        <f t="shared" ca="1" si="1"/>
        <v>21.197410000000001</v>
      </c>
      <c r="I14" s="119">
        <f t="shared" ca="1" si="4"/>
        <v>6.1982349999999995</v>
      </c>
      <c r="J14" s="120">
        <f t="shared" ca="1" si="5"/>
        <v>0.75363031650000001</v>
      </c>
      <c r="K14" s="121">
        <f t="shared" ca="1" si="6"/>
        <v>9.3093780000000006</v>
      </c>
      <c r="L14" s="117">
        <f t="shared" ca="1" si="7"/>
        <v>3</v>
      </c>
      <c r="M14" s="129" t="str">
        <f t="shared" ca="1" si="8"/>
        <v>keep</v>
      </c>
      <c r="N14" s="117">
        <f t="shared" ca="1" si="9"/>
        <v>9</v>
      </c>
      <c r="O14" s="129" t="str">
        <f t="shared" ca="1" si="10"/>
        <v>keep</v>
      </c>
      <c r="P14" s="117">
        <f t="shared" ca="1" si="11"/>
        <v>11</v>
      </c>
      <c r="Q14" s="129" t="str">
        <f t="shared" ca="1" si="12"/>
        <v>remove</v>
      </c>
      <c r="R14" s="117">
        <f t="shared" ca="1" si="13"/>
        <v>23</v>
      </c>
      <c r="S14" s="3">
        <f t="shared" ca="1" si="14"/>
        <v>9</v>
      </c>
      <c r="T14" s="123" t="str">
        <f t="shared" ca="1" si="15"/>
        <v>keep</v>
      </c>
      <c r="U14" s="139" t="str">
        <f t="shared" ca="1" si="16"/>
        <v/>
      </c>
      <c r="V14" s="139" t="str">
        <f t="shared" ca="1" si="17"/>
        <v>Entropie utilisation du sol, N. intersections feux rouges (/km2), Charge max. du réseau (voit/j)</v>
      </c>
      <c r="W14" s="139" t="s">
        <v>105</v>
      </c>
    </row>
    <row r="15" spans="1:23" ht="17" customHeight="1" x14ac:dyDescent="0.2">
      <c r="A15" s="76" t="s">
        <v>28</v>
      </c>
      <c r="B15" s="15" t="s">
        <v>55</v>
      </c>
      <c r="C15" s="134">
        <f t="shared" ca="1" si="2"/>
        <v>4.2378629999999999</v>
      </c>
      <c r="D15" s="61">
        <f t="shared" ca="1" si="0"/>
        <v>1.0471494924</v>
      </c>
      <c r="E15" s="135">
        <f t="shared" ca="1" si="0"/>
        <v>10.314615999999999</v>
      </c>
      <c r="F15" s="134">
        <f t="shared" ca="1" si="3"/>
        <v>7.697343</v>
      </c>
      <c r="G15" s="61">
        <f t="shared" ca="1" si="1"/>
        <v>1.7452491539999999</v>
      </c>
      <c r="H15" s="135">
        <f t="shared" ca="1" si="1"/>
        <v>19.318052000000002</v>
      </c>
      <c r="I15" s="119">
        <f t="shared" ca="1" si="4"/>
        <v>3.4594800000000001</v>
      </c>
      <c r="J15" s="120">
        <f t="shared" ca="1" si="5"/>
        <v>0.69809966159999992</v>
      </c>
      <c r="K15" s="121">
        <f t="shared" ca="1" si="6"/>
        <v>9.0034360000000024</v>
      </c>
      <c r="L15" s="117">
        <f t="shared" ca="1" si="7"/>
        <v>11</v>
      </c>
      <c r="M15" s="129" t="str">
        <f t="shared" ca="1" si="8"/>
        <v>remove</v>
      </c>
      <c r="N15" s="117">
        <f t="shared" ca="1" si="9"/>
        <v>10</v>
      </c>
      <c r="O15" s="129" t="str">
        <f t="shared" ca="1" si="10"/>
        <v>keep</v>
      </c>
      <c r="P15" s="117">
        <f t="shared" ca="1" si="11"/>
        <v>3</v>
      </c>
      <c r="Q15" s="129" t="str">
        <f t="shared" ca="1" si="12"/>
        <v>keep</v>
      </c>
      <c r="R15" s="117">
        <f t="shared" ca="1" si="13"/>
        <v>24</v>
      </c>
      <c r="S15" s="3">
        <f t="shared" ca="1" si="14"/>
        <v>10</v>
      </c>
      <c r="T15" s="123" t="str">
        <f t="shared" ca="1" si="15"/>
        <v>keep</v>
      </c>
      <c r="U15" s="139" t="str">
        <f t="shared" ca="1" si="16"/>
        <v/>
      </c>
      <c r="V15" s="139" t="str">
        <f t="shared" ca="1" si="17"/>
        <v>Entropie utilisation du sol, N. intersections feux rouges (/km2), Charge max. du réseau (voit/j)</v>
      </c>
      <c r="W15" s="139" t="s">
        <v>105</v>
      </c>
    </row>
    <row r="16" spans="1:23" ht="17" thickBot="1" x14ac:dyDescent="0.25">
      <c r="A16" s="14" t="s">
        <v>57</v>
      </c>
      <c r="B16" s="15" t="s">
        <v>56</v>
      </c>
      <c r="C16" s="136">
        <f t="shared" ca="1" si="2"/>
        <v>3.3153350000000001</v>
      </c>
      <c r="D16" s="137">
        <f t="shared" ca="1" si="0"/>
        <v>0.91228933050000005</v>
      </c>
      <c r="E16" s="138">
        <f t="shared" ca="1" si="0"/>
        <v>10.48944</v>
      </c>
      <c r="F16" s="136">
        <f t="shared" ca="1" si="3"/>
        <v>8.8216739999999998</v>
      </c>
      <c r="G16" s="137">
        <f t="shared" ca="1" si="1"/>
        <v>2.062567182</v>
      </c>
      <c r="H16" s="138">
        <f t="shared" ca="1" si="1"/>
        <v>15.690454000000001</v>
      </c>
      <c r="I16" s="125">
        <f t="shared" ca="1" si="4"/>
        <v>5.5063389999999997</v>
      </c>
      <c r="J16" s="126">
        <f t="shared" ca="1" si="5"/>
        <v>1.1502778514999998</v>
      </c>
      <c r="K16" s="127">
        <f t="shared" ca="1" si="6"/>
        <v>5.2010140000000007</v>
      </c>
      <c r="L16" s="64">
        <f t="shared" ca="1" si="7"/>
        <v>6</v>
      </c>
      <c r="M16" s="56" t="str">
        <f t="shared" ca="1" si="8"/>
        <v>keep</v>
      </c>
      <c r="N16" s="64">
        <f t="shared" ca="1" si="9"/>
        <v>5</v>
      </c>
      <c r="O16" s="56" t="str">
        <f t="shared" ca="1" si="10"/>
        <v>keep</v>
      </c>
      <c r="P16" s="64">
        <f t="shared" ca="1" si="11"/>
        <v>8</v>
      </c>
      <c r="Q16" s="56" t="str">
        <f t="shared" ca="1" si="12"/>
        <v>keep</v>
      </c>
      <c r="R16" s="64">
        <f t="shared" ca="1" si="13"/>
        <v>19</v>
      </c>
      <c r="S16" s="124">
        <f t="shared" ca="1" si="14"/>
        <v>5</v>
      </c>
      <c r="T16" s="128" t="str">
        <f t="shared" ca="1" si="15"/>
        <v>keep</v>
      </c>
      <c r="U16" s="139" t="str">
        <f t="shared" ca="1" si="16"/>
        <v/>
      </c>
      <c r="V16" s="139" t="str">
        <f t="shared" ca="1" si="17"/>
        <v>Entropie utilisation du sol, N. intersections feux rouges (/km2), Charge max. du réseau (voit/j)</v>
      </c>
      <c r="W16" s="139" t="s">
        <v>105</v>
      </c>
    </row>
    <row r="18" spans="3:20" x14ac:dyDescent="0.2">
      <c r="C18" s="167" t="s">
        <v>97</v>
      </c>
      <c r="D18" s="167"/>
      <c r="E18" s="167"/>
      <c r="F18" s="168" t="s">
        <v>98</v>
      </c>
      <c r="G18" s="168"/>
      <c r="H18" s="168"/>
      <c r="I18" s="169" t="s">
        <v>99</v>
      </c>
      <c r="J18" s="170"/>
      <c r="K18" s="170"/>
      <c r="L18" s="163" t="s">
        <v>102</v>
      </c>
      <c r="M18" s="163"/>
      <c r="N18" s="163" t="s">
        <v>100</v>
      </c>
      <c r="O18" s="163"/>
      <c r="P18" s="163" t="s">
        <v>101</v>
      </c>
      <c r="Q18" s="163"/>
      <c r="R18" s="163" t="s">
        <v>103</v>
      </c>
      <c r="S18" s="163"/>
      <c r="T18" s="163"/>
    </row>
    <row r="20" spans="3:20" ht="51" x14ac:dyDescent="0.2">
      <c r="C20" s="140" t="s">
        <v>106</v>
      </c>
      <c r="D20" s="141">
        <v>3</v>
      </c>
      <c r="E20" s="165" t="s">
        <v>107</v>
      </c>
      <c r="F20" s="166"/>
      <c r="G20" s="166"/>
    </row>
    <row r="23" spans="3:20" ht="16" customHeight="1" x14ac:dyDescent="0.2">
      <c r="C23" s="164" t="s">
        <v>104</v>
      </c>
      <c r="D23" s="164"/>
      <c r="E23" s="164"/>
      <c r="F23" s="164"/>
      <c r="G23" s="164"/>
      <c r="H23" s="164"/>
      <c r="I23" s="164"/>
      <c r="K23" s="164" t="str">
        <f ca="1">_xlfn.CONCAT("Il a été décidé d'enlever les variables: ",V16)</f>
        <v>Il a été décidé d'enlever les variables: Entropie utilisation du sol, N. intersections feux rouges (/km2), Charge max. du réseau (voit/j)</v>
      </c>
      <c r="L23" s="164"/>
      <c r="M23" s="164"/>
      <c r="N23" s="164"/>
      <c r="O23" s="164"/>
    </row>
    <row r="24" spans="3:20" x14ac:dyDescent="0.2">
      <c r="C24" s="164"/>
      <c r="D24" s="164"/>
      <c r="E24" s="164"/>
      <c r="F24" s="164"/>
      <c r="G24" s="164"/>
      <c r="H24" s="164"/>
      <c r="I24" s="164"/>
      <c r="K24" s="164"/>
      <c r="L24" s="164"/>
      <c r="M24" s="164"/>
      <c r="N24" s="164"/>
      <c r="O24" s="164"/>
    </row>
    <row r="25" spans="3:20" x14ac:dyDescent="0.2">
      <c r="C25" s="164"/>
      <c r="D25" s="164"/>
      <c r="E25" s="164"/>
      <c r="F25" s="164"/>
      <c r="G25" s="164"/>
      <c r="H25" s="164"/>
      <c r="I25" s="164"/>
      <c r="K25" s="164"/>
      <c r="L25" s="164"/>
      <c r="M25" s="164"/>
      <c r="N25" s="164"/>
      <c r="O25" s="164"/>
    </row>
    <row r="26" spans="3:20" x14ac:dyDescent="0.2">
      <c r="C26" s="164"/>
      <c r="D26" s="164"/>
      <c r="E26" s="164"/>
      <c r="F26" s="164"/>
      <c r="G26" s="164"/>
      <c r="H26" s="164"/>
      <c r="I26" s="164"/>
      <c r="K26" s="164"/>
      <c r="L26" s="164"/>
      <c r="M26" s="164"/>
      <c r="N26" s="164"/>
      <c r="O26" s="164"/>
    </row>
    <row r="27" spans="3:20" x14ac:dyDescent="0.2">
      <c r="C27" s="164"/>
      <c r="D27" s="164"/>
      <c r="E27" s="164"/>
      <c r="F27" s="164"/>
      <c r="G27" s="164"/>
      <c r="H27" s="164"/>
      <c r="I27" s="164"/>
      <c r="K27" s="164"/>
      <c r="L27" s="164"/>
      <c r="M27" s="164"/>
      <c r="N27" s="164"/>
      <c r="O27" s="164"/>
    </row>
    <row r="28" spans="3:20" x14ac:dyDescent="0.2">
      <c r="C28" s="164"/>
      <c r="D28" s="164"/>
      <c r="E28" s="164"/>
      <c r="F28" s="164"/>
      <c r="G28" s="164"/>
      <c r="H28" s="164"/>
      <c r="I28" s="164"/>
      <c r="K28" s="164"/>
      <c r="L28" s="164"/>
      <c r="M28" s="164"/>
      <c r="N28" s="164"/>
      <c r="O28" s="164"/>
    </row>
    <row r="29" spans="3:20" x14ac:dyDescent="0.2">
      <c r="C29" s="164"/>
      <c r="D29" s="164"/>
      <c r="E29" s="164"/>
      <c r="F29" s="164"/>
      <c r="G29" s="164"/>
      <c r="H29" s="164"/>
      <c r="I29" s="164"/>
      <c r="K29" s="164"/>
      <c r="L29" s="164"/>
      <c r="M29" s="164"/>
      <c r="N29" s="164"/>
      <c r="O29" s="164"/>
    </row>
    <row r="30" spans="3:20" x14ac:dyDescent="0.2">
      <c r="C30" s="164"/>
      <c r="D30" s="164"/>
      <c r="E30" s="164"/>
      <c r="F30" s="164"/>
      <c r="G30" s="164"/>
      <c r="H30" s="164"/>
      <c r="I30" s="164"/>
      <c r="K30" s="164"/>
      <c r="L30" s="164"/>
      <c r="M30" s="164"/>
      <c r="N30" s="164"/>
      <c r="O30" s="164"/>
    </row>
    <row r="31" spans="3:20" x14ac:dyDescent="0.2">
      <c r="C31" s="164"/>
      <c r="D31" s="164"/>
      <c r="E31" s="164"/>
      <c r="F31" s="164"/>
      <c r="G31" s="164"/>
      <c r="H31" s="164"/>
      <c r="I31" s="164"/>
      <c r="K31" s="164"/>
      <c r="L31" s="164"/>
      <c r="M31" s="164"/>
      <c r="N31" s="164"/>
      <c r="O31" s="164"/>
    </row>
    <row r="32" spans="3:20" x14ac:dyDescent="0.2">
      <c r="C32" s="164"/>
      <c r="D32" s="164"/>
      <c r="E32" s="164"/>
      <c r="F32" s="164"/>
      <c r="G32" s="164"/>
      <c r="H32" s="164"/>
      <c r="I32" s="164"/>
      <c r="K32" s="164"/>
      <c r="L32" s="164"/>
      <c r="M32" s="164"/>
      <c r="N32" s="164"/>
      <c r="O32" s="164"/>
    </row>
    <row r="33" spans="3:15" x14ac:dyDescent="0.2">
      <c r="C33" s="164"/>
      <c r="D33" s="164"/>
      <c r="E33" s="164"/>
      <c r="F33" s="164"/>
      <c r="G33" s="164"/>
      <c r="H33" s="164"/>
      <c r="I33" s="164"/>
      <c r="K33" s="164"/>
      <c r="L33" s="164"/>
      <c r="M33" s="164"/>
      <c r="N33" s="164"/>
      <c r="O33" s="164"/>
    </row>
  </sheetData>
  <mergeCells count="16">
    <mergeCell ref="R18:T18"/>
    <mergeCell ref="C23:I33"/>
    <mergeCell ref="K23:O33"/>
    <mergeCell ref="E20:G20"/>
    <mergeCell ref="C18:E18"/>
    <mergeCell ref="F18:H18"/>
    <mergeCell ref="I18:K18"/>
    <mergeCell ref="L18:M18"/>
    <mergeCell ref="N18:O18"/>
    <mergeCell ref="P18:Q18"/>
    <mergeCell ref="P3:Q3"/>
    <mergeCell ref="C1:E1"/>
    <mergeCell ref="F1:H1"/>
    <mergeCell ref="I1:K1"/>
    <mergeCell ref="L3:M3"/>
    <mergeCell ref="N3:O3"/>
  </mergeCells>
  <conditionalFormatting sqref="I4:K16">
    <cfRule type="colorScale" priority="9">
      <colorScale>
        <cfvo type="min"/>
        <cfvo type="max"/>
        <color rgb="FFFCFCFF"/>
        <color rgb="FF63BE7B"/>
      </colorScale>
    </cfRule>
  </conditionalFormatting>
  <conditionalFormatting sqref="M4:M16">
    <cfRule type="containsText" dxfId="3" priority="3" operator="containsText" text="remove">
      <formula>NOT(ISERROR(SEARCH("remove",M4)))</formula>
    </cfRule>
  </conditionalFormatting>
  <conditionalFormatting sqref="O4:O16">
    <cfRule type="containsText" dxfId="2" priority="2" operator="containsText" text="remove">
      <formula>NOT(ISERROR(SEARCH("remove",O4)))</formula>
    </cfRule>
  </conditionalFormatting>
  <conditionalFormatting sqref="Q4:Q16">
    <cfRule type="containsText" dxfId="1" priority="1" operator="containsText" text="remove">
      <formula>NOT(ISERROR(SEARCH("remove",Q4)))</formula>
    </cfRule>
  </conditionalFormatting>
  <conditionalFormatting sqref="T4:T16">
    <cfRule type="containsText" dxfId="0" priority="8" operator="containsText" text="remove">
      <formula>NOT(ISERROR(SEARCH("remove",T4)))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Charts</vt:lpstr>
      </vt:variant>
      <vt:variant>
        <vt:i4>1</vt:i4>
      </vt:variant>
    </vt:vector>
  </HeadingPairs>
  <TitlesOfParts>
    <vt:vector size="21" baseType="lpstr">
      <vt:lpstr>B_DENS</vt:lpstr>
      <vt:lpstr>B15BTOT</vt:lpstr>
      <vt:lpstr>ENTROPY</vt:lpstr>
      <vt:lpstr>FEUX_R_ARE</vt:lpstr>
      <vt:lpstr>MAX_DTV</vt:lpstr>
      <vt:lpstr>P_comb_tc</vt:lpstr>
      <vt:lpstr>P_comb_tim</vt:lpstr>
      <vt:lpstr>R_EMPHAB</vt:lpstr>
      <vt:lpstr>ROAD_DENS</vt:lpstr>
      <vt:lpstr>TROTT_DENS</vt:lpstr>
      <vt:lpstr>TYPO_TD</vt:lpstr>
      <vt:lpstr>W_OeV_KLASSE</vt:lpstr>
      <vt:lpstr>Places_Parking</vt:lpstr>
      <vt:lpstr>enquêtes TIM</vt:lpstr>
      <vt:lpstr>enquêtes MD</vt:lpstr>
      <vt:lpstr>enquêtes TC</vt:lpstr>
      <vt:lpstr>Calculs_modele</vt:lpstr>
      <vt:lpstr>Calculs_enquete</vt:lpstr>
      <vt:lpstr>RESULTATS</vt:lpstr>
      <vt:lpstr>Analyse variables à enlever</vt:lpstr>
      <vt:lpstr>Example plot enquête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Fien De Doncker</dc:creator>
  <cp:keywords/>
  <dc:description/>
  <cp:lastModifiedBy>Fien De Doncker</cp:lastModifiedBy>
  <cp:revision/>
  <dcterms:created xsi:type="dcterms:W3CDTF">2024-02-25T14:45:51Z</dcterms:created>
  <dcterms:modified xsi:type="dcterms:W3CDTF">2024-08-27T08:08:40Z</dcterms:modified>
  <cp:category/>
  <cp:contentStatus/>
</cp:coreProperties>
</file>